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filterPrivacy="1"/>
  <xr:revisionPtr revIDLastSave="0" documentId="13_ncr:1_{62E9D422-6047-D44F-9E28-B2509A82054E}" xr6:coauthVersionLast="47" xr6:coauthVersionMax="47" xr10:uidLastSave="{00000000-0000-0000-0000-000000000000}"/>
  <bookViews>
    <workbookView xWindow="0" yWindow="780" windowWidth="36000" windowHeight="21740" xr2:uid="{00000000-000D-0000-FFFF-FFFF00000000}"/>
  </bookViews>
  <sheets>
    <sheet name="Sheet1" sheetId="1" r:id="rId1"/>
    <sheet name="職員マス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8" i="1" l="1"/>
  <c r="AJ38" i="1"/>
  <c r="AI38" i="1"/>
  <c r="AK36" i="1"/>
  <c r="AJ36" i="1"/>
  <c r="AI36" i="1"/>
  <c r="AK34" i="1"/>
  <c r="AJ34" i="1"/>
  <c r="AI34" i="1"/>
  <c r="AJ32" i="1"/>
  <c r="AI32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K30" i="1"/>
  <c r="AJ30" i="1"/>
  <c r="AI30" i="1"/>
  <c r="AJ26" i="1"/>
  <c r="AI26" i="1"/>
  <c r="V28" i="1"/>
  <c r="P28" i="1"/>
  <c r="J28" i="1"/>
  <c r="D28" i="1"/>
  <c r="AK26" i="1"/>
  <c r="AK24" i="1"/>
  <c r="AJ24" i="1"/>
  <c r="AI24" i="1"/>
  <c r="AK22" i="1"/>
  <c r="AJ22" i="1"/>
  <c r="AI22" i="1"/>
  <c r="AK20" i="1"/>
  <c r="AJ20" i="1"/>
  <c r="AI20" i="1"/>
  <c r="AK18" i="1"/>
  <c r="AJ18" i="1"/>
  <c r="AI18" i="1"/>
  <c r="I28" i="1"/>
  <c r="AJ16" i="1"/>
  <c r="AI16" i="1"/>
  <c r="AG28" i="1"/>
  <c r="AF28" i="1"/>
  <c r="AE28" i="1"/>
  <c r="AD28" i="1"/>
  <c r="AC28" i="1"/>
  <c r="AB28" i="1"/>
  <c r="AA28" i="1"/>
  <c r="Z28" i="1"/>
  <c r="Y28" i="1"/>
  <c r="X28" i="1"/>
  <c r="W28" i="1"/>
  <c r="U28" i="1"/>
  <c r="T28" i="1"/>
  <c r="S28" i="1"/>
  <c r="R28" i="1"/>
  <c r="Q28" i="1"/>
  <c r="O28" i="1"/>
  <c r="N28" i="1"/>
  <c r="M28" i="1"/>
  <c r="L28" i="1"/>
  <c r="K28" i="1"/>
  <c r="H28" i="1"/>
  <c r="G28" i="1"/>
  <c r="F28" i="1"/>
  <c r="E28" i="1"/>
  <c r="AK16" i="1"/>
  <c r="AK14" i="1"/>
  <c r="AJ14" i="1"/>
  <c r="AI14" i="1"/>
  <c r="O12" i="1"/>
  <c r="L12" i="1"/>
  <c r="F12" i="1"/>
  <c r="M12" i="1"/>
  <c r="G12" i="1"/>
  <c r="AJ10" i="1"/>
  <c r="AI10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N12" i="1"/>
  <c r="K12" i="1"/>
  <c r="J12" i="1"/>
  <c r="I12" i="1"/>
  <c r="H12" i="1"/>
  <c r="AK10" i="1"/>
  <c r="D12" i="1"/>
  <c r="C12" i="1"/>
  <c r="AK8" i="1"/>
  <c r="AJ8" i="1"/>
  <c r="AI8" i="1"/>
  <c r="AK6" i="1"/>
  <c r="AJ6" i="1"/>
  <c r="AI6" i="1"/>
  <c r="AK4" i="1"/>
  <c r="AJ4" i="1"/>
  <c r="AI4" i="1"/>
  <c r="AL24" i="1" l="1"/>
  <c r="AL36" i="1"/>
  <c r="AL22" i="1"/>
  <c r="AL8" i="1"/>
  <c r="AL38" i="1"/>
  <c r="AL34" i="1"/>
  <c r="AL30" i="1"/>
  <c r="AL20" i="1"/>
  <c r="AL18" i="1"/>
  <c r="AL14" i="1"/>
  <c r="AL6" i="1"/>
  <c r="AL4" i="1"/>
  <c r="AL16" i="1"/>
  <c r="F42" i="1"/>
  <c r="L42" i="1"/>
  <c r="G42" i="1"/>
  <c r="M42" i="1"/>
  <c r="S42" i="1"/>
  <c r="H42" i="1"/>
  <c r="N42" i="1"/>
  <c r="T42" i="1"/>
  <c r="Z42" i="1"/>
  <c r="AF42" i="1"/>
  <c r="O42" i="1"/>
  <c r="K42" i="1"/>
  <c r="Q42" i="1"/>
  <c r="W42" i="1"/>
  <c r="AC42" i="1"/>
  <c r="I42" i="1"/>
  <c r="R42" i="1"/>
  <c r="X42" i="1"/>
  <c r="AD42" i="1"/>
  <c r="Y42" i="1"/>
  <c r="AE42" i="1"/>
  <c r="D42" i="1"/>
  <c r="J42" i="1"/>
  <c r="P42" i="1"/>
  <c r="V42" i="1"/>
  <c r="AL26" i="1"/>
  <c r="AL10" i="1"/>
  <c r="U42" i="1"/>
  <c r="AA42" i="1"/>
  <c r="AG42" i="1"/>
  <c r="AB42" i="1"/>
  <c r="E12" i="1"/>
  <c r="E42" i="1" s="1"/>
  <c r="C28" i="1"/>
  <c r="C42" i="1" s="1"/>
  <c r="AK32" i="1"/>
  <c r="AL32" i="1" s="1"/>
</calcChain>
</file>

<file path=xl/sharedStrings.xml><?xml version="1.0" encoding="utf-8"?>
<sst xmlns="http://schemas.openxmlformats.org/spreadsheetml/2006/main" count="371" uniqueCount="93">
  <si>
    <t>年</t>
    <rPh sb="0" eb="1">
      <t>ネン</t>
    </rPh>
    <phoneticPr fontId="3"/>
  </si>
  <si>
    <t>月</t>
    <rPh sb="0" eb="1">
      <t>ガツ</t>
    </rPh>
    <phoneticPr fontId="3"/>
  </si>
  <si>
    <t>日</t>
    <rPh sb="0" eb="1">
      <t>ニチ</t>
    </rPh>
    <phoneticPr fontId="3"/>
  </si>
  <si>
    <t>公休数</t>
    <rPh sb="0" eb="2">
      <t>コウキュウ</t>
    </rPh>
    <rPh sb="2" eb="3">
      <t>スウ</t>
    </rPh>
    <phoneticPr fontId="3"/>
  </si>
  <si>
    <t>有給数</t>
    <rPh sb="0" eb="2">
      <t>ユウキュウ</t>
    </rPh>
    <rPh sb="2" eb="3">
      <t>スウ</t>
    </rPh>
    <phoneticPr fontId="3"/>
  </si>
  <si>
    <t>休日数</t>
    <rPh sb="0" eb="2">
      <t>キュウジツ</t>
    </rPh>
    <rPh sb="2" eb="3">
      <t>スウ</t>
    </rPh>
    <phoneticPr fontId="3"/>
  </si>
  <si>
    <t>残り</t>
    <rPh sb="0" eb="1">
      <t>ノコ</t>
    </rPh>
    <phoneticPr fontId="3"/>
  </si>
  <si>
    <t>選択</t>
    <rPh sb="0" eb="2">
      <t>センタク</t>
    </rPh>
    <phoneticPr fontId="3"/>
  </si>
  <si>
    <t>通常勤務者</t>
    <rPh sb="0" eb="2">
      <t>ツウジョウ</t>
    </rPh>
    <rPh sb="2" eb="4">
      <t>キンム</t>
    </rPh>
    <rPh sb="4" eb="5">
      <t>シャ</t>
    </rPh>
    <phoneticPr fontId="3"/>
  </si>
  <si>
    <t>病棟夜勤者</t>
    <rPh sb="0" eb="2">
      <t>ビョウトウ</t>
    </rPh>
    <rPh sb="2" eb="3">
      <t>ヨル</t>
    </rPh>
    <rPh sb="4" eb="5">
      <t>シャ</t>
    </rPh>
    <phoneticPr fontId="3"/>
  </si>
  <si>
    <t>曜日</t>
    <rPh sb="0" eb="2">
      <t>ヨウビ</t>
    </rPh>
    <phoneticPr fontId="3"/>
  </si>
  <si>
    <t>金</t>
  </si>
  <si>
    <t>土</t>
  </si>
  <si>
    <t>日</t>
  </si>
  <si>
    <t>月</t>
  </si>
  <si>
    <t>火</t>
  </si>
  <si>
    <t>水</t>
  </si>
  <si>
    <t>木</t>
  </si>
  <si>
    <t>公休</t>
    <rPh sb="0" eb="2">
      <t>コウキュウ</t>
    </rPh>
    <phoneticPr fontId="3"/>
  </si>
  <si>
    <t>半休</t>
    <rPh sb="0" eb="2">
      <t>ハンキュウ</t>
    </rPh>
    <phoneticPr fontId="3"/>
  </si>
  <si>
    <t>勤務希望</t>
    <rPh sb="0" eb="2">
      <t>キンム</t>
    </rPh>
    <rPh sb="2" eb="4">
      <t>キボウ</t>
    </rPh>
    <phoneticPr fontId="3"/>
  </si>
  <si>
    <t>休</t>
    <rPh sb="0" eb="1">
      <t>ヤス</t>
    </rPh>
    <phoneticPr fontId="3"/>
  </si>
  <si>
    <t>出</t>
    <rPh sb="0" eb="1">
      <t>シュツ</t>
    </rPh>
    <phoneticPr fontId="3"/>
  </si>
  <si>
    <t>希望</t>
    <rPh sb="0" eb="2">
      <t>キボウ</t>
    </rPh>
    <phoneticPr fontId="3"/>
  </si>
  <si>
    <t>4月</t>
    <rPh sb="1" eb="2">
      <t>ガツ</t>
    </rPh>
    <phoneticPr fontId="3"/>
  </si>
  <si>
    <t>理由欄</t>
    <rPh sb="0" eb="2">
      <t>リユウ</t>
    </rPh>
    <rPh sb="2" eb="3">
      <t>ラン</t>
    </rPh>
    <phoneticPr fontId="3"/>
  </si>
  <si>
    <t>年休</t>
    <rPh sb="0" eb="2">
      <t>ネンキュウ</t>
    </rPh>
    <phoneticPr fontId="3"/>
  </si>
  <si>
    <t>.</t>
    <phoneticPr fontId="3"/>
  </si>
  <si>
    <t>委員会</t>
    <phoneticPr fontId="3"/>
  </si>
  <si>
    <t>5月</t>
    <rPh sb="1" eb="2">
      <t>ガツ</t>
    </rPh>
    <phoneticPr fontId="3"/>
  </si>
  <si>
    <t>/半</t>
    <rPh sb="1" eb="2">
      <t>ハン</t>
    </rPh>
    <phoneticPr fontId="3"/>
  </si>
  <si>
    <t>6月</t>
  </si>
  <si>
    <t>年/</t>
    <rPh sb="0" eb="1">
      <t>ネン</t>
    </rPh>
    <phoneticPr fontId="3"/>
  </si>
  <si>
    <t>7月</t>
  </si>
  <si>
    <t>/年</t>
    <rPh sb="1" eb="2">
      <t>ネン</t>
    </rPh>
    <phoneticPr fontId="3"/>
  </si>
  <si>
    <t>8月</t>
  </si>
  <si>
    <t>研修</t>
    <rPh sb="0" eb="2">
      <t>ケンシュウ</t>
    </rPh>
    <phoneticPr fontId="3"/>
  </si>
  <si>
    <t>9月</t>
  </si>
  <si>
    <t>特休</t>
    <rPh sb="0" eb="1">
      <t>トク</t>
    </rPh>
    <rPh sb="1" eb="2">
      <t>キュウ</t>
    </rPh>
    <phoneticPr fontId="3"/>
  </si>
  <si>
    <t>10月</t>
  </si>
  <si>
    <t>出張</t>
    <rPh sb="0" eb="2">
      <t>シュッチョウ</t>
    </rPh>
    <phoneticPr fontId="3"/>
  </si>
  <si>
    <t>11月</t>
  </si>
  <si>
    <t>12月</t>
  </si>
  <si>
    <t>1月</t>
    <rPh sb="1" eb="2">
      <t>ガツ</t>
    </rPh>
    <phoneticPr fontId="3"/>
  </si>
  <si>
    <t>2月</t>
  </si>
  <si>
    <t>3月</t>
  </si>
  <si>
    <t>半/</t>
    <rPh sb="0" eb="1">
      <t>ハン</t>
    </rPh>
    <phoneticPr fontId="3"/>
  </si>
  <si>
    <t>全体休み</t>
    <rPh sb="0" eb="2">
      <t>ゼンタイ</t>
    </rPh>
    <rPh sb="2" eb="3">
      <t>ヤス</t>
    </rPh>
    <phoneticPr fontId="3"/>
  </si>
  <si>
    <t>階休み</t>
    <rPh sb="0" eb="1">
      <t>カイ</t>
    </rPh>
    <rPh sb="1" eb="2">
      <t>ヤス</t>
    </rPh>
    <phoneticPr fontId="3"/>
  </si>
  <si>
    <t>階休み</t>
    <rPh sb="0" eb="1">
      <t>カイ</t>
    </rPh>
    <rPh sb="1" eb="2">
      <t>ヤス</t>
    </rPh>
    <phoneticPr fontId="7"/>
  </si>
  <si>
    <t>令和年度休日数</t>
    <rPh sb="0" eb="1">
      <t>レイ</t>
    </rPh>
    <rPh sb="1" eb="2">
      <t>ワ</t>
    </rPh>
    <rPh sb="2" eb="3">
      <t>ネン</t>
    </rPh>
    <rPh sb="3" eb="4">
      <t>ド</t>
    </rPh>
    <rPh sb="4" eb="6">
      <t>キュウジツ</t>
    </rPh>
    <rPh sb="6" eb="7">
      <t>スウ</t>
    </rPh>
    <phoneticPr fontId="3"/>
  </si>
  <si>
    <t>　　　 日・曜日
氏名</t>
    <rPh sb="4" eb="5">
      <t>ニチ</t>
    </rPh>
    <rPh sb="6" eb="8">
      <t>ヨウビ</t>
    </rPh>
    <rPh sb="9" eb="11">
      <t>シメイ</t>
    </rPh>
    <phoneticPr fontId="3"/>
  </si>
  <si>
    <t>C</t>
    <phoneticPr fontId="3"/>
  </si>
  <si>
    <t>G</t>
    <phoneticPr fontId="3"/>
  </si>
  <si>
    <t>H</t>
    <phoneticPr fontId="3"/>
  </si>
  <si>
    <t>I</t>
    <phoneticPr fontId="3"/>
  </si>
  <si>
    <t>J</t>
    <phoneticPr fontId="3"/>
  </si>
  <si>
    <t>N</t>
    <phoneticPr fontId="3"/>
  </si>
  <si>
    <t>委員会</t>
  </si>
  <si>
    <t>A（専従）</t>
    <rPh sb="2" eb="4">
      <t xml:space="preserve">センジュウ </t>
    </rPh>
    <phoneticPr fontId="3"/>
  </si>
  <si>
    <t>B（専任）</t>
    <rPh sb="2" eb="4">
      <t xml:space="preserve">センニン </t>
    </rPh>
    <phoneticPr fontId="3"/>
  </si>
  <si>
    <t>E（専従）</t>
    <phoneticPr fontId="3"/>
  </si>
  <si>
    <t>L（専従）</t>
    <phoneticPr fontId="3"/>
  </si>
  <si>
    <t>F（専任）</t>
    <phoneticPr fontId="3"/>
  </si>
  <si>
    <t>M（専任）</t>
    <phoneticPr fontId="3"/>
  </si>
  <si>
    <t>D（作業療法士）</t>
    <rPh sb="2" eb="7">
      <t>サギョウリョウ</t>
    </rPh>
    <phoneticPr fontId="3"/>
  </si>
  <si>
    <t>K（作業療法士）</t>
    <phoneticPr fontId="3"/>
  </si>
  <si>
    <t>O</t>
    <phoneticPr fontId="3"/>
  </si>
  <si>
    <t>P（作業療法士）</t>
    <phoneticPr fontId="3"/>
  </si>
  <si>
    <t>職員ID</t>
  </si>
  <si>
    <t>表示名</t>
  </si>
  <si>
    <t>病棟</t>
  </si>
  <si>
    <t>専従</t>
  </si>
  <si>
    <t>専任</t>
  </si>
  <si>
    <t>作業療法士</t>
  </si>
  <si>
    <t>在籍</t>
  </si>
  <si>
    <t>A</t>
  </si>
  <si>
    <t>○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</si>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</sst>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6"/>
      <color theme="1"/>
      <name val="游ゴシック"/>
      <family val="2"/>
      <scheme val="minor"/>
    </font>
    <font>
      <sz val="16"/>
      <color theme="1"/>
      <name val="游ゴシック"/>
      <family val="3"/>
      <charset val="128"/>
      <scheme val="minor"/>
    </font>
    <font>
      <b/>
      <sz val="22"/>
      <color rgb="FFFF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2"/>
      <scheme val="minor"/>
    </font>
    <font>
      <sz val="1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0" applyFont="1"/>
    <xf numFmtId="0" fontId="0" fillId="0" borderId="8" xfId="0" applyBorder="1"/>
    <xf numFmtId="0" fontId="0" fillId="0" borderId="10" xfId="0" applyBorder="1" applyAlignment="1">
      <alignment horizontal="center" vertical="center"/>
    </xf>
    <xf numFmtId="0" fontId="10" fillId="0" borderId="0" xfId="0" applyFont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2" fillId="0" borderId="0" xfId="0" applyFont="1"/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2" fillId="0" borderId="0" xfId="0" applyFont="1"/>
    <xf numFmtId="0" fontId="0" fillId="2" borderId="4" xfId="0" applyFill="1" applyBorder="1" applyAlignment="1">
      <alignment horizontal="center" vertical="center"/>
    </xf>
    <xf numFmtId="0" fontId="1" fillId="0" borderId="0" xfId="0" applyFont="1"/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justify" vertical="top" wrapText="1"/>
    </xf>
    <xf numFmtId="0" fontId="0" fillId="0" borderId="3" xfId="0" applyBorder="1" applyAlignment="1">
      <alignment horizontal="justify" vertical="top"/>
    </xf>
    <xf numFmtId="0" fontId="0" fillId="0" borderId="4" xfId="0" applyBorder="1"/>
  </cellXfs>
  <cellStyles count="1">
    <cellStyle name="標準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2"/>
  <sheetViews>
    <sheetView tabSelected="1" zoomScale="118" zoomScaleNormal="118" workbookViewId="0">
      <selection activeCell="A38" sqref="A38:A39"/>
    </sheetView>
  </sheetViews>
  <sheetFormatPr baseColWidth="10" defaultColWidth="8.83203125" defaultRowHeight="18"/>
  <cols>
    <col min="1" max="1" width="15.6640625" customWidth="1"/>
  </cols>
  <sheetData>
    <row r="1" spans="1:45" ht="38">
      <c r="B1" s="35"/>
      <c r="C1" s="35"/>
      <c r="D1" s="1" t="s">
        <v>0</v>
      </c>
      <c r="E1" s="1"/>
      <c r="F1" s="1" t="s">
        <v>1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7"/>
      <c r="AQ1" s="38" t="s">
        <v>50</v>
      </c>
      <c r="AR1" s="38"/>
      <c r="AS1" s="38"/>
    </row>
    <row r="2" spans="1:45">
      <c r="A2" s="39" t="s">
        <v>51</v>
      </c>
      <c r="B2" s="2" t="s">
        <v>2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3">
        <v>30</v>
      </c>
      <c r="AG2" s="2">
        <v>31</v>
      </c>
      <c r="AI2" s="4" t="s">
        <v>3</v>
      </c>
      <c r="AJ2" s="4" t="s">
        <v>4</v>
      </c>
      <c r="AK2" s="4" t="s">
        <v>5</v>
      </c>
      <c r="AL2" s="4" t="s">
        <v>6</v>
      </c>
      <c r="AM2" s="5"/>
      <c r="AN2" s="4" t="s">
        <v>7</v>
      </c>
      <c r="AQ2" s="38" t="s">
        <v>8</v>
      </c>
      <c r="AR2" s="38"/>
      <c r="AS2" t="s">
        <v>9</v>
      </c>
    </row>
    <row r="3" spans="1:45" ht="24" customHeight="1" thickBot="1">
      <c r="A3" s="40"/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11</v>
      </c>
      <c r="K3" s="2" t="s">
        <v>12</v>
      </c>
      <c r="L3" s="2" t="s">
        <v>13</v>
      </c>
      <c r="M3" s="27" t="s">
        <v>14</v>
      </c>
      <c r="N3" s="2" t="s">
        <v>15</v>
      </c>
      <c r="O3" s="2" t="s">
        <v>16</v>
      </c>
      <c r="P3" s="2" t="s">
        <v>17</v>
      </c>
      <c r="Q3" s="2" t="s">
        <v>11</v>
      </c>
      <c r="R3" s="2" t="s">
        <v>12</v>
      </c>
      <c r="S3" s="2" t="s">
        <v>13</v>
      </c>
      <c r="T3" s="2" t="s">
        <v>14</v>
      </c>
      <c r="U3" s="2" t="s">
        <v>15</v>
      </c>
      <c r="V3" s="2" t="s">
        <v>16</v>
      </c>
      <c r="W3" s="2" t="s">
        <v>17</v>
      </c>
      <c r="X3" s="2" t="s">
        <v>11</v>
      </c>
      <c r="Y3" s="2" t="s">
        <v>12</v>
      </c>
      <c r="Z3" s="2" t="s">
        <v>13</v>
      </c>
      <c r="AA3" s="2" t="s">
        <v>14</v>
      </c>
      <c r="AB3" s="2" t="s">
        <v>15</v>
      </c>
      <c r="AC3" s="2" t="s">
        <v>16</v>
      </c>
      <c r="AD3" s="2" t="s">
        <v>17</v>
      </c>
      <c r="AE3" s="2" t="s">
        <v>11</v>
      </c>
      <c r="AF3" s="2" t="s">
        <v>12</v>
      </c>
      <c r="AG3" s="2" t="s">
        <v>13</v>
      </c>
      <c r="AN3" s="4"/>
      <c r="AQ3" t="s">
        <v>18</v>
      </c>
      <c r="AR3" t="s">
        <v>19</v>
      </c>
    </row>
    <row r="4" spans="1:45">
      <c r="A4" s="29" t="s">
        <v>59</v>
      </c>
      <c r="B4" s="6" t="s">
        <v>20</v>
      </c>
      <c r="C4" s="7" t="s">
        <v>21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 t="s">
        <v>21</v>
      </c>
      <c r="R4" s="7"/>
      <c r="S4" s="7"/>
      <c r="T4" s="7"/>
      <c r="U4" s="7"/>
      <c r="V4" s="7"/>
      <c r="W4" s="7"/>
      <c r="X4" s="7"/>
      <c r="Y4" s="7"/>
      <c r="Z4" s="7"/>
      <c r="AA4" s="7"/>
      <c r="AB4" s="7" t="s">
        <v>22</v>
      </c>
      <c r="AC4" s="7"/>
      <c r="AD4" s="7"/>
      <c r="AE4" s="7"/>
      <c r="AF4" s="7"/>
      <c r="AG4" s="7"/>
      <c r="AI4">
        <f>AS8</f>
        <v>10</v>
      </c>
      <c r="AJ4">
        <f>COUNTIF(C5:AG5,"年休")+COUNTIF(C5:AG5,"/年")/2+COUNTIF(C5:AG5,"年/")/2</f>
        <v>1</v>
      </c>
      <c r="AK4">
        <f>COUNTIF(C4:AG4,"休")+COUNTIF(C4:AG4,"半/")/2+COUNTIF(C4:AG4,"/半")/2</f>
        <v>2</v>
      </c>
      <c r="AL4">
        <f>AI4+AJ4-AK4</f>
        <v>9</v>
      </c>
      <c r="AN4" s="8" t="s">
        <v>23</v>
      </c>
      <c r="AP4" s="9" t="s">
        <v>24</v>
      </c>
      <c r="AQ4">
        <v>7</v>
      </c>
      <c r="AR4">
        <v>8</v>
      </c>
      <c r="AS4" s="10">
        <v>9</v>
      </c>
    </row>
    <row r="5" spans="1:45">
      <c r="A5" s="32"/>
      <c r="B5" s="11" t="s">
        <v>25</v>
      </c>
      <c r="C5" s="11" t="s">
        <v>23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 t="s">
        <v>26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 t="s">
        <v>23</v>
      </c>
      <c r="AC5" s="11"/>
      <c r="AD5" s="11"/>
      <c r="AE5" s="11"/>
      <c r="AF5" s="11"/>
      <c r="AG5" s="11"/>
      <c r="AI5" t="s">
        <v>27</v>
      </c>
      <c r="AN5" s="8" t="s">
        <v>28</v>
      </c>
      <c r="AP5" s="12" t="s">
        <v>29</v>
      </c>
      <c r="AQ5">
        <v>7</v>
      </c>
      <c r="AR5">
        <v>7</v>
      </c>
      <c r="AS5" s="13">
        <v>10</v>
      </c>
    </row>
    <row r="6" spans="1:45">
      <c r="A6" s="29" t="s">
        <v>60</v>
      </c>
      <c r="B6" s="6" t="s">
        <v>20</v>
      </c>
      <c r="C6" s="7" t="s">
        <v>30</v>
      </c>
      <c r="D6" s="7" t="s">
        <v>21</v>
      </c>
      <c r="E6" s="7" t="s">
        <v>21</v>
      </c>
      <c r="F6" s="7"/>
      <c r="G6" s="7"/>
      <c r="H6" s="7"/>
      <c r="I6" s="7"/>
      <c r="J6" s="7"/>
      <c r="K6" s="7" t="s">
        <v>22</v>
      </c>
      <c r="L6" s="7"/>
      <c r="M6" s="7"/>
      <c r="N6" s="7" t="s">
        <v>21</v>
      </c>
      <c r="O6" s="7"/>
      <c r="P6" s="7"/>
      <c r="Q6" s="7"/>
      <c r="R6" s="7"/>
      <c r="S6" s="7" t="s">
        <v>21</v>
      </c>
      <c r="T6" s="7" t="s">
        <v>30</v>
      </c>
      <c r="U6" s="7"/>
      <c r="V6" s="7"/>
      <c r="W6" s="7"/>
      <c r="X6" s="7"/>
      <c r="Y6" s="7" t="s">
        <v>21</v>
      </c>
      <c r="Z6" s="7" t="s">
        <v>21</v>
      </c>
      <c r="AA6" s="7"/>
      <c r="AB6" s="7"/>
      <c r="AC6" s="7"/>
      <c r="AD6" s="7"/>
      <c r="AE6" s="7"/>
      <c r="AF6" s="7" t="s">
        <v>21</v>
      </c>
      <c r="AG6" s="7" t="s">
        <v>21</v>
      </c>
      <c r="AI6">
        <f>AS8</f>
        <v>10</v>
      </c>
      <c r="AJ6">
        <f>COUNTIF(C7:AG7,"年休")+COUNTIF(C7:AG7,"/年")/2+COUNTIF(C7:AG7,"年/")/2</f>
        <v>0</v>
      </c>
      <c r="AK6">
        <f>COUNTIF(C6:AG6,"休")+COUNTIF(C6:AG6,"半/")/2+COUNTIF(C6:AG6,"/半")/2</f>
        <v>9</v>
      </c>
      <c r="AL6">
        <f>AI6+AJ6-AK6</f>
        <v>1</v>
      </c>
      <c r="AN6" t="s">
        <v>26</v>
      </c>
      <c r="AP6" s="12" t="s">
        <v>31</v>
      </c>
      <c r="AQ6">
        <v>4</v>
      </c>
      <c r="AR6">
        <v>8</v>
      </c>
      <c r="AS6" s="13">
        <v>9</v>
      </c>
    </row>
    <row r="7" spans="1:45">
      <c r="A7" s="30"/>
      <c r="B7" s="11" t="s">
        <v>25</v>
      </c>
      <c r="C7" s="14" t="s">
        <v>23</v>
      </c>
      <c r="D7" s="14" t="s">
        <v>23</v>
      </c>
      <c r="E7" s="14" t="s">
        <v>23</v>
      </c>
      <c r="F7" s="14"/>
      <c r="G7" s="14"/>
      <c r="H7" s="14"/>
      <c r="I7" s="14"/>
      <c r="J7" s="14"/>
      <c r="K7" s="14" t="s">
        <v>23</v>
      </c>
      <c r="L7" s="14"/>
      <c r="M7" s="14"/>
      <c r="N7" s="14" t="s">
        <v>23</v>
      </c>
      <c r="O7" s="14"/>
      <c r="P7" s="14"/>
      <c r="Q7" s="14"/>
      <c r="R7" s="14"/>
      <c r="S7" s="14" t="s">
        <v>23</v>
      </c>
      <c r="T7" s="14" t="s">
        <v>23</v>
      </c>
      <c r="U7" s="14"/>
      <c r="V7" s="14"/>
      <c r="W7" s="14"/>
      <c r="X7" s="14"/>
      <c r="Y7" s="14" t="s">
        <v>23</v>
      </c>
      <c r="Z7" s="14" t="s">
        <v>23</v>
      </c>
      <c r="AA7" s="14"/>
      <c r="AB7" s="14"/>
      <c r="AC7" s="14"/>
      <c r="AD7" s="14"/>
      <c r="AE7" s="14"/>
      <c r="AF7" s="14" t="s">
        <v>23</v>
      </c>
      <c r="AG7" s="14" t="s">
        <v>23</v>
      </c>
      <c r="AN7" t="s">
        <v>32</v>
      </c>
      <c r="AP7" s="12" t="s">
        <v>33</v>
      </c>
      <c r="AQ7">
        <v>6</v>
      </c>
      <c r="AR7">
        <v>9</v>
      </c>
      <c r="AS7" s="13">
        <v>10</v>
      </c>
    </row>
    <row r="8" spans="1:45">
      <c r="A8" s="29" t="s">
        <v>52</v>
      </c>
      <c r="B8" s="6" t="s">
        <v>20</v>
      </c>
      <c r="C8" s="7"/>
      <c r="D8" s="7"/>
      <c r="E8" s="7" t="s">
        <v>21</v>
      </c>
      <c r="F8" s="7"/>
      <c r="G8" s="7"/>
      <c r="H8" s="7"/>
      <c r="I8" s="7"/>
      <c r="J8" s="7"/>
      <c r="K8" s="7" t="s">
        <v>21</v>
      </c>
      <c r="L8" s="7" t="s">
        <v>21</v>
      </c>
      <c r="M8" s="7"/>
      <c r="N8" s="7"/>
      <c r="O8" s="7"/>
      <c r="P8" s="7" t="s">
        <v>21</v>
      </c>
      <c r="Q8" s="7"/>
      <c r="R8" s="7"/>
      <c r="S8" s="7"/>
      <c r="T8" s="7"/>
      <c r="U8" s="7"/>
      <c r="V8" s="7"/>
      <c r="W8" s="7"/>
      <c r="X8" s="7"/>
      <c r="Y8" s="7"/>
      <c r="Z8" s="7" t="s">
        <v>21</v>
      </c>
      <c r="AA8" s="7"/>
      <c r="AB8" s="7"/>
      <c r="AC8" s="7"/>
      <c r="AD8" s="7"/>
      <c r="AE8" s="7"/>
      <c r="AF8" s="7"/>
      <c r="AG8" s="7"/>
      <c r="AI8">
        <f>AS8</f>
        <v>10</v>
      </c>
      <c r="AJ8">
        <f>COUNTIF(C9:AG9,"年休")+COUNTIF(C9:AG9,"/年")/2+COUNTIF(C9:AG9,"年/")/2</f>
        <v>0</v>
      </c>
      <c r="AK8">
        <f>COUNTIF(C8:AG8,"休")+COUNTIF(C8:AG8,"半/")/2+COUNTIF(C8:AG8,"/半")/2</f>
        <v>5</v>
      </c>
      <c r="AL8">
        <f>AI8+AJ8-AK8</f>
        <v>5</v>
      </c>
      <c r="AN8" t="s">
        <v>34</v>
      </c>
      <c r="AP8" s="28" t="s">
        <v>35</v>
      </c>
      <c r="AQ8">
        <v>5</v>
      </c>
      <c r="AR8">
        <v>7</v>
      </c>
      <c r="AS8" s="13">
        <v>10</v>
      </c>
    </row>
    <row r="9" spans="1:45">
      <c r="A9" s="30"/>
      <c r="B9" s="11" t="s">
        <v>25</v>
      </c>
      <c r="C9" s="14"/>
      <c r="D9" s="14"/>
      <c r="E9" s="14" t="s">
        <v>23</v>
      </c>
      <c r="F9" s="14"/>
      <c r="G9" s="14"/>
      <c r="H9" s="14"/>
      <c r="I9" s="14"/>
      <c r="J9" s="14"/>
      <c r="K9" s="14" t="s">
        <v>23</v>
      </c>
      <c r="L9" s="14" t="s">
        <v>23</v>
      </c>
      <c r="M9" s="14"/>
      <c r="N9" s="14"/>
      <c r="O9" s="14"/>
      <c r="P9" s="14" t="s">
        <v>23</v>
      </c>
      <c r="Q9" s="14"/>
      <c r="R9" s="14"/>
      <c r="S9" s="14"/>
      <c r="T9" s="14"/>
      <c r="U9" s="14"/>
      <c r="V9" s="14"/>
      <c r="W9" s="14"/>
      <c r="X9" s="14"/>
      <c r="Y9" s="14"/>
      <c r="Z9" s="14" t="s">
        <v>23</v>
      </c>
      <c r="AA9" s="14"/>
      <c r="AB9" s="14"/>
      <c r="AC9" s="14"/>
      <c r="AD9" s="14"/>
      <c r="AE9" s="14"/>
      <c r="AF9" s="14"/>
      <c r="AG9" s="14"/>
      <c r="AN9" t="s">
        <v>36</v>
      </c>
      <c r="AP9" s="9" t="s">
        <v>37</v>
      </c>
      <c r="AQ9">
        <v>6</v>
      </c>
      <c r="AR9">
        <v>8</v>
      </c>
      <c r="AS9" s="13">
        <v>10</v>
      </c>
    </row>
    <row r="10" spans="1:45">
      <c r="A10" s="29" t="s">
        <v>65</v>
      </c>
      <c r="B10" s="6" t="s">
        <v>20</v>
      </c>
      <c r="C10" s="7"/>
      <c r="D10" s="7"/>
      <c r="E10" s="7"/>
      <c r="F10" s="7"/>
      <c r="G10" s="7"/>
      <c r="H10" s="7" t="s">
        <v>21</v>
      </c>
      <c r="I10" s="7"/>
      <c r="J10" s="7"/>
      <c r="K10" s="7"/>
      <c r="L10" s="7"/>
      <c r="M10" s="7"/>
      <c r="N10" s="7"/>
      <c r="O10" s="7"/>
      <c r="P10" s="7" t="s">
        <v>21</v>
      </c>
      <c r="Q10" s="7"/>
      <c r="R10" s="7"/>
      <c r="S10" s="7"/>
      <c r="T10" s="7" t="s">
        <v>21</v>
      </c>
      <c r="U10" s="7"/>
      <c r="V10" s="7"/>
      <c r="W10" s="7"/>
      <c r="X10" s="7"/>
      <c r="Y10" s="7"/>
      <c r="Z10" s="7"/>
      <c r="AA10" s="7"/>
      <c r="AB10" s="7"/>
      <c r="AC10" s="7"/>
      <c r="AD10" s="7" t="s">
        <v>21</v>
      </c>
      <c r="AE10" s="7"/>
      <c r="AF10" s="7"/>
      <c r="AG10" s="7"/>
      <c r="AI10">
        <f>AS8</f>
        <v>10</v>
      </c>
      <c r="AJ10">
        <f>COUNTIF(C11:AG11,"年休")+COUNTIF(C11:AG11,"/年")/2+COUNTIF(C11:AG11,"年/")/2</f>
        <v>0</v>
      </c>
      <c r="AK10">
        <f>COUNTIF(C10:AG10,"休")+COUNTIF(C10:AG10,"半/")/2+COUNTIF(C10:AG10,"/半")/2</f>
        <v>4</v>
      </c>
      <c r="AL10">
        <f>AI10+AJ10-AK10</f>
        <v>6</v>
      </c>
      <c r="AN10" t="s">
        <v>38</v>
      </c>
      <c r="AP10" s="12" t="s">
        <v>39</v>
      </c>
      <c r="AQ10">
        <v>6</v>
      </c>
      <c r="AR10">
        <v>7</v>
      </c>
      <c r="AS10" s="13">
        <v>10</v>
      </c>
    </row>
    <row r="11" spans="1:45">
      <c r="A11" s="30"/>
      <c r="B11" s="11" t="s">
        <v>25</v>
      </c>
      <c r="C11" s="14"/>
      <c r="D11" s="14"/>
      <c r="E11" s="14"/>
      <c r="F11" s="14"/>
      <c r="G11" s="14"/>
      <c r="H11" s="14" t="s">
        <v>23</v>
      </c>
      <c r="I11" s="14"/>
      <c r="J11" s="14"/>
      <c r="K11" s="14"/>
      <c r="L11" s="14"/>
      <c r="M11" s="14"/>
      <c r="N11" s="14"/>
      <c r="O11" s="14"/>
      <c r="P11" s="14" t="s">
        <v>23</v>
      </c>
      <c r="Q11" s="14"/>
      <c r="R11" s="14"/>
      <c r="S11" s="14"/>
      <c r="T11" s="14" t="s">
        <v>23</v>
      </c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23</v>
      </c>
      <c r="AE11" s="14"/>
      <c r="AF11" s="14"/>
      <c r="AG11" s="14"/>
      <c r="AN11" t="s">
        <v>40</v>
      </c>
      <c r="AP11" t="s">
        <v>41</v>
      </c>
      <c r="AQ11">
        <v>6</v>
      </c>
      <c r="AR11">
        <v>6</v>
      </c>
      <c r="AS11" s="13">
        <v>10</v>
      </c>
    </row>
    <row r="12" spans="1:45">
      <c r="B12" s="15" t="s">
        <v>49</v>
      </c>
      <c r="C12" s="16">
        <f>COUNTIF(C4:C11,"休")+COUNTIF(C4:C11,"半/")/2+COUNTIF(C4:C11,"/半")/2</f>
        <v>1.5</v>
      </c>
      <c r="D12" s="16">
        <f t="shared" ref="D12:AG12" si="0">COUNTIF(D4:D11,"休")+COUNTIF(D4:D11,"半/")/2+COUNTIF(D4:D11,"/半")/2</f>
        <v>1</v>
      </c>
      <c r="E12" s="16">
        <f>COUNTIF(E4:E11,"休")+COUNTIF(E4:E11,"半/")/2+COUNTIF(E4:E11,"/半")/2</f>
        <v>2</v>
      </c>
      <c r="F12" s="16">
        <f t="shared" si="0"/>
        <v>0</v>
      </c>
      <c r="G12" s="16">
        <f t="shared" si="0"/>
        <v>0</v>
      </c>
      <c r="H12" s="16">
        <f t="shared" si="0"/>
        <v>1</v>
      </c>
      <c r="I12" s="16">
        <f t="shared" si="0"/>
        <v>0</v>
      </c>
      <c r="J12" s="16">
        <f t="shared" si="0"/>
        <v>0</v>
      </c>
      <c r="K12" s="16">
        <f t="shared" si="0"/>
        <v>1</v>
      </c>
      <c r="L12" s="16">
        <f t="shared" si="0"/>
        <v>1</v>
      </c>
      <c r="M12" s="16">
        <f t="shared" si="0"/>
        <v>0</v>
      </c>
      <c r="N12" s="16">
        <f t="shared" si="0"/>
        <v>1</v>
      </c>
      <c r="O12" s="16">
        <f t="shared" si="0"/>
        <v>0</v>
      </c>
      <c r="P12" s="16">
        <f t="shared" si="0"/>
        <v>2</v>
      </c>
      <c r="Q12" s="16">
        <f t="shared" si="0"/>
        <v>1</v>
      </c>
      <c r="R12" s="16">
        <f t="shared" si="0"/>
        <v>0</v>
      </c>
      <c r="S12" s="16">
        <f t="shared" si="0"/>
        <v>1</v>
      </c>
      <c r="T12" s="16">
        <f t="shared" si="0"/>
        <v>1.5</v>
      </c>
      <c r="U12" s="16">
        <f t="shared" si="0"/>
        <v>0</v>
      </c>
      <c r="V12" s="16">
        <f t="shared" si="0"/>
        <v>0</v>
      </c>
      <c r="W12" s="16">
        <f t="shared" si="0"/>
        <v>0</v>
      </c>
      <c r="X12" s="16">
        <f t="shared" si="0"/>
        <v>0</v>
      </c>
      <c r="Y12" s="16">
        <f t="shared" si="0"/>
        <v>1</v>
      </c>
      <c r="Z12" s="16">
        <f t="shared" si="0"/>
        <v>2</v>
      </c>
      <c r="AA12" s="16">
        <f t="shared" si="0"/>
        <v>0</v>
      </c>
      <c r="AB12" s="16">
        <f t="shared" si="0"/>
        <v>0</v>
      </c>
      <c r="AC12" s="16">
        <f t="shared" si="0"/>
        <v>0</v>
      </c>
      <c r="AD12" s="16">
        <f t="shared" si="0"/>
        <v>1</v>
      </c>
      <c r="AE12" s="16">
        <f t="shared" si="0"/>
        <v>0</v>
      </c>
      <c r="AF12" s="16">
        <f t="shared" si="0"/>
        <v>1</v>
      </c>
      <c r="AG12" s="16">
        <f t="shared" si="0"/>
        <v>1</v>
      </c>
      <c r="AP12" s="12" t="s">
        <v>42</v>
      </c>
      <c r="AQ12">
        <v>6</v>
      </c>
      <c r="AR12">
        <v>8</v>
      </c>
      <c r="AS12" s="13">
        <v>10</v>
      </c>
    </row>
    <row r="13" spans="1:45">
      <c r="A13" s="17"/>
      <c r="B13" s="15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P13" t="s">
        <v>43</v>
      </c>
      <c r="AQ13">
        <v>8</v>
      </c>
      <c r="AR13">
        <v>6</v>
      </c>
      <c r="AS13" s="13">
        <v>10</v>
      </c>
    </row>
    <row r="14" spans="1:45">
      <c r="A14" s="29" t="s">
        <v>61</v>
      </c>
      <c r="B14" s="6" t="s">
        <v>20</v>
      </c>
      <c r="C14" s="19" t="s">
        <v>22</v>
      </c>
      <c r="D14" s="19"/>
      <c r="E14" s="19"/>
      <c r="F14" s="19"/>
      <c r="G14" s="19"/>
      <c r="H14" s="19" t="s">
        <v>22</v>
      </c>
      <c r="I14" s="19" t="s">
        <v>21</v>
      </c>
      <c r="J14" s="19" t="s">
        <v>22</v>
      </c>
      <c r="K14" s="19"/>
      <c r="L14" s="19"/>
      <c r="M14" s="19"/>
      <c r="N14" s="19"/>
      <c r="O14" s="19"/>
      <c r="P14" s="19"/>
      <c r="Q14" s="19" t="s">
        <v>22</v>
      </c>
      <c r="R14" s="19"/>
      <c r="S14" s="19"/>
      <c r="T14" s="19" t="s">
        <v>21</v>
      </c>
      <c r="U14" s="19"/>
      <c r="V14" s="19"/>
      <c r="W14" s="19"/>
      <c r="X14" s="19" t="s">
        <v>22</v>
      </c>
      <c r="Y14" s="19" t="s">
        <v>21</v>
      </c>
      <c r="Z14" s="19"/>
      <c r="AA14" s="19"/>
      <c r="AB14" s="19"/>
      <c r="AC14" s="19"/>
      <c r="AD14" s="19"/>
      <c r="AE14" s="19" t="s">
        <v>21</v>
      </c>
      <c r="AF14" s="19" t="s">
        <v>21</v>
      </c>
      <c r="AG14" s="19" t="s">
        <v>21</v>
      </c>
      <c r="AI14">
        <f>AS8</f>
        <v>10</v>
      </c>
      <c r="AJ14">
        <f>COUNTIF(C15:AG15,"年休")+COUNTIF(C15:AG15,"/年")/2+COUNTIF(C15:AG15,"年/")/2</f>
        <v>1</v>
      </c>
      <c r="AK14">
        <f>COUNTIF(C14:AG14,"休")+COUNTIF(C14:AG14,"半/")/2+COUNTIF(C14:AG14,"/半")/2</f>
        <v>6</v>
      </c>
      <c r="AL14">
        <f>AI14+AJ14-AK14</f>
        <v>5</v>
      </c>
      <c r="AP14" t="s">
        <v>44</v>
      </c>
      <c r="AQ14">
        <v>6</v>
      </c>
      <c r="AR14">
        <v>6</v>
      </c>
      <c r="AS14" s="13">
        <v>9</v>
      </c>
    </row>
    <row r="15" spans="1:45" ht="19" thickBot="1">
      <c r="A15" s="30"/>
      <c r="B15" s="11" t="s">
        <v>25</v>
      </c>
      <c r="C15" s="11" t="s">
        <v>58</v>
      </c>
      <c r="D15" s="11"/>
      <c r="E15" s="11"/>
      <c r="F15" s="11"/>
      <c r="G15" s="11"/>
      <c r="H15" s="11" t="s">
        <v>58</v>
      </c>
      <c r="I15" s="11" t="s">
        <v>23</v>
      </c>
      <c r="J15" s="11" t="s">
        <v>58</v>
      </c>
      <c r="K15" s="11"/>
      <c r="L15" s="11"/>
      <c r="M15" s="11"/>
      <c r="N15" s="11"/>
      <c r="O15" s="11"/>
      <c r="P15" s="11"/>
      <c r="Q15" s="11" t="s">
        <v>58</v>
      </c>
      <c r="R15" s="11"/>
      <c r="S15" s="11"/>
      <c r="T15" s="11" t="s">
        <v>26</v>
      </c>
      <c r="U15" s="11"/>
      <c r="V15" s="11"/>
      <c r="W15" s="11"/>
      <c r="X15" s="11" t="s">
        <v>58</v>
      </c>
      <c r="Y15" s="11" t="s">
        <v>36</v>
      </c>
      <c r="Z15" s="11"/>
      <c r="AA15" s="11"/>
      <c r="AB15" s="11"/>
      <c r="AC15" s="11"/>
      <c r="AD15" s="11"/>
      <c r="AE15" s="11" t="s">
        <v>23</v>
      </c>
      <c r="AF15" s="11" t="s">
        <v>23</v>
      </c>
      <c r="AG15" s="11" t="s">
        <v>23</v>
      </c>
      <c r="AP15" s="12" t="s">
        <v>45</v>
      </c>
      <c r="AQ15">
        <v>6</v>
      </c>
      <c r="AR15">
        <v>9</v>
      </c>
      <c r="AS15" s="20">
        <v>10</v>
      </c>
    </row>
    <row r="16" spans="1:45">
      <c r="A16" s="29" t="s">
        <v>63</v>
      </c>
      <c r="B16" s="6" t="s">
        <v>20</v>
      </c>
      <c r="C16" s="19"/>
      <c r="D16" s="19" t="s">
        <v>21</v>
      </c>
      <c r="E16" s="19"/>
      <c r="F16" s="19"/>
      <c r="G16" s="19"/>
      <c r="H16" s="19" t="s">
        <v>21</v>
      </c>
      <c r="I16" s="19"/>
      <c r="J16" s="19" t="s">
        <v>21</v>
      </c>
      <c r="K16" s="19" t="s">
        <v>21</v>
      </c>
      <c r="L16" s="19" t="s">
        <v>21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 t="s">
        <v>21</v>
      </c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I16">
        <f>AS8</f>
        <v>10</v>
      </c>
      <c r="AJ16">
        <f>COUNTIF(C17:AG17,"年休")+COUNTIF(C17:AG17,"/年")/2+COUNTIF(C17:AG17,"年/")/2</f>
        <v>0</v>
      </c>
      <c r="AK16">
        <f>COUNTIF(C16:AG16,"休")+COUNTIF(C16:AG16,"半/")/2+COUNTIF(C16:AG16,"/半")/2</f>
        <v>6</v>
      </c>
      <c r="AL16">
        <f>AI16+AJ16-AK16</f>
        <v>4</v>
      </c>
    </row>
    <row r="17" spans="1:42">
      <c r="A17" s="30"/>
      <c r="B17" s="11" t="s">
        <v>25</v>
      </c>
      <c r="C17" s="11"/>
      <c r="D17" s="11" t="s">
        <v>23</v>
      </c>
      <c r="E17" s="11"/>
      <c r="F17" s="11"/>
      <c r="G17" s="11"/>
      <c r="H17" s="11" t="s">
        <v>23</v>
      </c>
      <c r="I17" s="11"/>
      <c r="J17" s="11" t="s">
        <v>23</v>
      </c>
      <c r="K17" s="11" t="s">
        <v>23</v>
      </c>
      <c r="L17" s="11" t="s">
        <v>23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 t="s">
        <v>23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pans="1:42">
      <c r="A18" s="29" t="s">
        <v>53</v>
      </c>
      <c r="B18" s="2" t="s">
        <v>20</v>
      </c>
      <c r="C18" s="7" t="s">
        <v>21</v>
      </c>
      <c r="D18" s="7" t="s">
        <v>21</v>
      </c>
      <c r="E18" s="7"/>
      <c r="F18" s="7"/>
      <c r="G18" s="7" t="s">
        <v>22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 t="s">
        <v>22</v>
      </c>
      <c r="V18" s="7" t="s">
        <v>22</v>
      </c>
      <c r="W18" s="7"/>
      <c r="X18" s="7"/>
      <c r="Y18" s="7" t="s">
        <v>21</v>
      </c>
      <c r="Z18" s="7"/>
      <c r="AA18" s="7"/>
      <c r="AB18" s="7"/>
      <c r="AC18" s="7"/>
      <c r="AD18" s="7" t="s">
        <v>21</v>
      </c>
      <c r="AE18" s="7"/>
      <c r="AF18" s="7"/>
      <c r="AG18" s="7"/>
      <c r="AI18">
        <f>AS8</f>
        <v>10</v>
      </c>
      <c r="AJ18">
        <f>COUNTIF(C19:AG19,"年休")+COUNTIF(C19:AG19,"/年")/2+COUNTIF(C19:AG19,"年/")/2</f>
        <v>1</v>
      </c>
      <c r="AK18">
        <f>COUNTIF(C18:AG18,"休")+COUNTIF(C18:AG18,"半/")/2+COUNTIF(C18:AG18,"/半")/2</f>
        <v>4</v>
      </c>
      <c r="AL18">
        <f>AI18+AJ18-AK18</f>
        <v>7</v>
      </c>
      <c r="AP18" s="12"/>
    </row>
    <row r="19" spans="1:42">
      <c r="A19" s="30"/>
      <c r="B19" s="2" t="s">
        <v>25</v>
      </c>
      <c r="C19" s="11" t="s">
        <v>26</v>
      </c>
      <c r="D19" s="11" t="s">
        <v>23</v>
      </c>
      <c r="E19" s="11"/>
      <c r="F19" s="11"/>
      <c r="G19" s="11" t="s">
        <v>58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58</v>
      </c>
      <c r="V19" s="11" t="s">
        <v>23</v>
      </c>
      <c r="W19" s="11"/>
      <c r="X19" s="11"/>
      <c r="Y19" s="11" t="s">
        <v>36</v>
      </c>
      <c r="Z19" s="11"/>
      <c r="AA19" s="11"/>
      <c r="AB19" s="11"/>
      <c r="AC19" s="11"/>
      <c r="AD19" s="11" t="s">
        <v>23</v>
      </c>
      <c r="AE19" s="11"/>
      <c r="AF19" s="11"/>
      <c r="AG19" s="11"/>
    </row>
    <row r="20" spans="1:42">
      <c r="A20" s="29" t="s">
        <v>54</v>
      </c>
      <c r="B20" s="2" t="s">
        <v>20</v>
      </c>
      <c r="C20" s="7" t="s">
        <v>21</v>
      </c>
      <c r="D20" s="7"/>
      <c r="E20" s="7"/>
      <c r="F20" s="7"/>
      <c r="G20" s="7"/>
      <c r="H20" s="7" t="s">
        <v>21</v>
      </c>
      <c r="I20" s="7"/>
      <c r="J20" s="7"/>
      <c r="K20" s="7" t="s">
        <v>21</v>
      </c>
      <c r="L20" s="7" t="s">
        <v>21</v>
      </c>
      <c r="M20" s="7"/>
      <c r="N20" s="7"/>
      <c r="O20" s="7"/>
      <c r="P20" s="7"/>
      <c r="Q20" s="7"/>
      <c r="R20" s="7"/>
      <c r="S20" s="7"/>
      <c r="T20" s="7"/>
      <c r="U20" s="7"/>
      <c r="V20" s="7" t="s">
        <v>22</v>
      </c>
      <c r="W20" s="7"/>
      <c r="X20" s="7"/>
      <c r="Y20" s="7" t="s">
        <v>21</v>
      </c>
      <c r="Z20" s="7"/>
      <c r="AA20" s="7"/>
      <c r="AB20" s="7"/>
      <c r="AC20" s="7"/>
      <c r="AD20" s="7"/>
      <c r="AE20" s="7"/>
      <c r="AF20" s="7"/>
      <c r="AG20" s="7"/>
      <c r="AI20">
        <f>AS8</f>
        <v>10</v>
      </c>
      <c r="AJ20">
        <f>COUNTIF(C21:AG21,"年休")+COUNTIF(C21:AG21,"/年")/2+COUNTIF(C21:AG21,"年/")/2</f>
        <v>1</v>
      </c>
      <c r="AK20">
        <f>COUNTIF(C20:AG20,"休")+COUNTIF(C20:AG20,"半/")/2+COUNTIF(C20:AG20,"/半")/2</f>
        <v>5</v>
      </c>
      <c r="AL20">
        <f>AI20+AJ20-AK20</f>
        <v>6</v>
      </c>
    </row>
    <row r="21" spans="1:42">
      <c r="A21" s="30"/>
      <c r="B21" s="2" t="s">
        <v>25</v>
      </c>
      <c r="C21" s="11" t="s">
        <v>23</v>
      </c>
      <c r="D21" s="11"/>
      <c r="E21" s="11"/>
      <c r="F21" s="11"/>
      <c r="G21" s="11"/>
      <c r="H21" s="11" t="s">
        <v>26</v>
      </c>
      <c r="I21" s="11"/>
      <c r="J21" s="11"/>
      <c r="K21" s="11" t="s">
        <v>23</v>
      </c>
      <c r="L21" s="11" t="s">
        <v>23</v>
      </c>
      <c r="M21" s="11"/>
      <c r="N21" s="11"/>
      <c r="O21" s="11"/>
      <c r="P21" s="11"/>
      <c r="Q21" s="11"/>
      <c r="R21" s="11"/>
      <c r="S21" s="11"/>
      <c r="T21" s="11"/>
      <c r="U21" s="11"/>
      <c r="V21" s="11" t="s">
        <v>58</v>
      </c>
      <c r="W21" s="11"/>
      <c r="X21" s="11"/>
      <c r="Y21" s="11" t="s">
        <v>36</v>
      </c>
      <c r="Z21" s="11"/>
      <c r="AA21" s="11"/>
      <c r="AB21" s="11"/>
      <c r="AC21" s="11"/>
      <c r="AD21" s="11"/>
      <c r="AE21" s="11"/>
      <c r="AF21" s="11"/>
      <c r="AG21" s="11"/>
      <c r="AN21" t="s">
        <v>21</v>
      </c>
      <c r="AP21" s="21"/>
    </row>
    <row r="22" spans="1:42">
      <c r="A22" s="29" t="s">
        <v>55</v>
      </c>
      <c r="B22" s="2" t="s">
        <v>20</v>
      </c>
      <c r="C22" s="7"/>
      <c r="D22" s="7"/>
      <c r="E22" s="7" t="s">
        <v>21</v>
      </c>
      <c r="F22" s="7"/>
      <c r="G22" s="7"/>
      <c r="H22" s="7"/>
      <c r="I22" s="7"/>
      <c r="J22" s="7"/>
      <c r="K22" s="7"/>
      <c r="L22" s="7"/>
      <c r="M22" s="7"/>
      <c r="N22" s="7"/>
      <c r="O22" s="7" t="s">
        <v>22</v>
      </c>
      <c r="P22" s="7"/>
      <c r="Q22" s="7"/>
      <c r="R22" s="7"/>
      <c r="S22" s="7"/>
      <c r="T22" s="7"/>
      <c r="U22" s="7"/>
      <c r="V22" s="7"/>
      <c r="W22" s="7"/>
      <c r="X22" s="7" t="s">
        <v>21</v>
      </c>
      <c r="Y22" s="7" t="s">
        <v>21</v>
      </c>
      <c r="Z22" s="7"/>
      <c r="AA22" s="7"/>
      <c r="AB22" s="7"/>
      <c r="AC22" s="7"/>
      <c r="AD22" s="7"/>
      <c r="AE22" s="7"/>
      <c r="AF22" s="7"/>
      <c r="AG22" s="7"/>
      <c r="AI22">
        <f>AS8</f>
        <v>10</v>
      </c>
      <c r="AJ22">
        <f>COUNTIF(C23:AG23,"年休")+COUNTIF(C23:AG23,"/年")/2+COUNTIF(C23:AG23,"年/")/2</f>
        <v>0</v>
      </c>
      <c r="AK22">
        <f>COUNTIF(C22:AG22,"休")+COUNTIF(C22:AG22,"半/")/2+COUNTIF(C22:AG22,"/半")/2</f>
        <v>3</v>
      </c>
      <c r="AL22">
        <f>AI22+AJ22-AK22</f>
        <v>7</v>
      </c>
      <c r="AN22" t="s">
        <v>22</v>
      </c>
      <c r="AP22" s="21"/>
    </row>
    <row r="23" spans="1:42">
      <c r="A23" s="32"/>
      <c r="B23" s="2" t="s">
        <v>25</v>
      </c>
      <c r="C23" s="11"/>
      <c r="D23" s="11"/>
      <c r="E23" s="11" t="s">
        <v>23</v>
      </c>
      <c r="F23" s="11"/>
      <c r="G23" s="11"/>
      <c r="H23" s="11"/>
      <c r="I23" s="11"/>
      <c r="J23" s="11"/>
      <c r="K23" s="11"/>
      <c r="L23" s="11"/>
      <c r="M23" s="11"/>
      <c r="N23" s="11"/>
      <c r="O23" s="11" t="s">
        <v>58</v>
      </c>
      <c r="P23" s="11"/>
      <c r="Q23" s="11"/>
      <c r="R23" s="11"/>
      <c r="S23" s="11"/>
      <c r="T23" s="11"/>
      <c r="U23" s="11"/>
      <c r="V23" s="11"/>
      <c r="W23" s="11"/>
      <c r="X23" s="11" t="s">
        <v>36</v>
      </c>
      <c r="Y23" s="11" t="s">
        <v>36</v>
      </c>
      <c r="Z23" s="11"/>
      <c r="AA23" s="11"/>
      <c r="AB23" s="11"/>
      <c r="AC23" s="11"/>
      <c r="AD23" s="11"/>
      <c r="AE23" s="11"/>
      <c r="AF23" s="11"/>
      <c r="AG23" s="11"/>
      <c r="AN23" t="s">
        <v>46</v>
      </c>
      <c r="AP23" s="21"/>
    </row>
    <row r="24" spans="1:42">
      <c r="A24" s="29" t="s">
        <v>56</v>
      </c>
      <c r="B24" s="2" t="s">
        <v>20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 t="s">
        <v>21</v>
      </c>
      <c r="V24" s="7" t="s">
        <v>21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I24">
        <f>AS8</f>
        <v>10</v>
      </c>
      <c r="AJ24">
        <f>COUNTIF(C25:AG25,"年休")+COUNTIF(C25:AG25,"/年")/2+COUNTIF(C25:AG25,"年/")/2</f>
        <v>0</v>
      </c>
      <c r="AK24">
        <f>COUNTIF(C24:AG24,"休")+COUNTIF(C24:AG24,"半/")/2+COUNTIF(C24:AG24,"/半")/2</f>
        <v>2</v>
      </c>
      <c r="AL24">
        <f>AI24+AJ24-AK24</f>
        <v>8</v>
      </c>
      <c r="AN24" t="s">
        <v>30</v>
      </c>
      <c r="AP24" s="21"/>
    </row>
    <row r="25" spans="1:42">
      <c r="A25" s="32"/>
      <c r="B25" s="2" t="s">
        <v>25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23</v>
      </c>
      <c r="V25" s="11" t="s">
        <v>23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P25" s="21"/>
    </row>
    <row r="26" spans="1:42">
      <c r="A26" s="29" t="s">
        <v>66</v>
      </c>
      <c r="B26" s="2" t="s">
        <v>20</v>
      </c>
      <c r="C26" s="7" t="s">
        <v>21</v>
      </c>
      <c r="D26" s="7"/>
      <c r="E26" s="7"/>
      <c r="F26" s="7"/>
      <c r="G26" s="7"/>
      <c r="H26" s="7" t="s">
        <v>21</v>
      </c>
      <c r="I26" s="7" t="s">
        <v>21</v>
      </c>
      <c r="J26" s="7" t="s">
        <v>21</v>
      </c>
      <c r="K26" s="7" t="s">
        <v>21</v>
      </c>
      <c r="L26" s="7"/>
      <c r="M26" s="7"/>
      <c r="N26" s="7"/>
      <c r="O26" s="7" t="s">
        <v>21</v>
      </c>
      <c r="P26" s="7"/>
      <c r="Q26" s="7"/>
      <c r="R26" s="7"/>
      <c r="S26" s="7" t="s">
        <v>21</v>
      </c>
      <c r="T26" s="7"/>
      <c r="U26" s="7"/>
      <c r="V26" s="7"/>
      <c r="W26" s="7"/>
      <c r="X26" s="7"/>
      <c r="Y26" s="7"/>
      <c r="Z26" s="7" t="s">
        <v>21</v>
      </c>
      <c r="AA26" s="7"/>
      <c r="AB26" s="7"/>
      <c r="AC26" s="7"/>
      <c r="AD26" s="7"/>
      <c r="AE26" s="7" t="s">
        <v>21</v>
      </c>
      <c r="AF26" s="7" t="s">
        <v>21</v>
      </c>
      <c r="AG26" s="7"/>
      <c r="AI26">
        <f>AS8</f>
        <v>10</v>
      </c>
      <c r="AJ26">
        <f>COUNTIF(C27:AG27,"年休")+COUNTIF(C27:AG27,"/年")/2+COUNTIF(C27:AG27,"年/")/2</f>
        <v>2</v>
      </c>
      <c r="AK26">
        <f>COUNTIF(C26:AG26,"休")+COUNTIF(C26:AG26,"半/")/2+COUNTIF(C26:AG26,"/半")/2</f>
        <v>10</v>
      </c>
      <c r="AL26">
        <f>AI26+AJ26-AK26</f>
        <v>2</v>
      </c>
    </row>
    <row r="27" spans="1:42">
      <c r="A27" s="32"/>
      <c r="B27" s="2" t="s">
        <v>25</v>
      </c>
      <c r="C27" s="11" t="s">
        <v>23</v>
      </c>
      <c r="D27" s="11"/>
      <c r="E27" s="11"/>
      <c r="F27" s="11"/>
      <c r="G27" s="11"/>
      <c r="H27" s="11" t="s">
        <v>23</v>
      </c>
      <c r="I27" s="11" t="s">
        <v>23</v>
      </c>
      <c r="J27" s="11" t="s">
        <v>23</v>
      </c>
      <c r="K27" s="11" t="s">
        <v>23</v>
      </c>
      <c r="L27" s="11"/>
      <c r="M27" s="11"/>
      <c r="N27" s="11"/>
      <c r="O27" s="11" t="s">
        <v>26</v>
      </c>
      <c r="P27" s="11"/>
      <c r="Q27" s="11"/>
      <c r="R27" s="11"/>
      <c r="S27" s="11" t="s">
        <v>26</v>
      </c>
      <c r="T27" s="11"/>
      <c r="U27" s="11"/>
      <c r="V27" s="11"/>
      <c r="W27" s="11"/>
      <c r="X27" s="11"/>
      <c r="Y27" s="11"/>
      <c r="Z27" s="11" t="s">
        <v>23</v>
      </c>
      <c r="AA27" s="11"/>
      <c r="AB27" s="11"/>
      <c r="AC27" s="11"/>
      <c r="AD27" s="11"/>
      <c r="AE27" s="11" t="s">
        <v>23</v>
      </c>
      <c r="AF27" s="11" t="s">
        <v>23</v>
      </c>
      <c r="AG27" s="11"/>
    </row>
    <row r="28" spans="1:42">
      <c r="A28" s="33"/>
      <c r="B28" s="22" t="s">
        <v>48</v>
      </c>
      <c r="C28">
        <f>COUNTIF(C14:C27,"休")+COUNTIF(C14:C27,"半/")/2+COUNTIF(C14:C27,"/半")/2</f>
        <v>3</v>
      </c>
      <c r="D28">
        <f t="shared" ref="D28:AG28" si="1">COUNTIF(D14:D27,"休")+COUNTIF(D14:D27,"半/")/2+COUNTIF(D14:D27,"/半")/2</f>
        <v>2</v>
      </c>
      <c r="E28">
        <f t="shared" si="1"/>
        <v>1</v>
      </c>
      <c r="F28">
        <f t="shared" si="1"/>
        <v>0</v>
      </c>
      <c r="G28">
        <f t="shared" si="1"/>
        <v>0</v>
      </c>
      <c r="H28">
        <f t="shared" si="1"/>
        <v>3</v>
      </c>
      <c r="I28">
        <f t="shared" si="1"/>
        <v>2</v>
      </c>
      <c r="J28">
        <f t="shared" si="1"/>
        <v>2</v>
      </c>
      <c r="K28">
        <f t="shared" si="1"/>
        <v>3</v>
      </c>
      <c r="L28">
        <f t="shared" si="1"/>
        <v>2</v>
      </c>
      <c r="M28">
        <f t="shared" si="1"/>
        <v>0</v>
      </c>
      <c r="N28">
        <f t="shared" si="1"/>
        <v>0</v>
      </c>
      <c r="O28">
        <f t="shared" si="1"/>
        <v>1</v>
      </c>
      <c r="P28">
        <f t="shared" si="1"/>
        <v>0</v>
      </c>
      <c r="Q28">
        <f t="shared" si="1"/>
        <v>0</v>
      </c>
      <c r="R28">
        <f t="shared" si="1"/>
        <v>0</v>
      </c>
      <c r="S28">
        <f t="shared" si="1"/>
        <v>1</v>
      </c>
      <c r="T28">
        <f t="shared" si="1"/>
        <v>1</v>
      </c>
      <c r="U28">
        <f t="shared" si="1"/>
        <v>1</v>
      </c>
      <c r="V28">
        <f t="shared" si="1"/>
        <v>1</v>
      </c>
      <c r="W28">
        <f t="shared" si="1"/>
        <v>1</v>
      </c>
      <c r="X28">
        <f t="shared" si="1"/>
        <v>1</v>
      </c>
      <c r="Y28">
        <f t="shared" si="1"/>
        <v>4</v>
      </c>
      <c r="Z28">
        <f t="shared" si="1"/>
        <v>1</v>
      </c>
      <c r="AA28">
        <f t="shared" si="1"/>
        <v>0</v>
      </c>
      <c r="AB28">
        <f t="shared" si="1"/>
        <v>0</v>
      </c>
      <c r="AC28">
        <f t="shared" si="1"/>
        <v>0</v>
      </c>
      <c r="AD28">
        <f t="shared" si="1"/>
        <v>1</v>
      </c>
      <c r="AE28">
        <f t="shared" si="1"/>
        <v>2</v>
      </c>
      <c r="AF28">
        <f t="shared" si="1"/>
        <v>2</v>
      </c>
      <c r="AG28">
        <f t="shared" si="1"/>
        <v>1</v>
      </c>
    </row>
    <row r="29" spans="1:42">
      <c r="A29" s="3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spans="1:42">
      <c r="A30" s="29" t="s">
        <v>62</v>
      </c>
      <c r="B30" s="2" t="s">
        <v>20</v>
      </c>
      <c r="C30" s="7" t="s">
        <v>21</v>
      </c>
      <c r="D30" s="7"/>
      <c r="E30" s="7"/>
      <c r="F30" s="7"/>
      <c r="G30" s="7" t="s">
        <v>21</v>
      </c>
      <c r="H30" s="7" t="s">
        <v>21</v>
      </c>
      <c r="I30" s="7" t="s">
        <v>21</v>
      </c>
      <c r="J30" s="7" t="s">
        <v>21</v>
      </c>
      <c r="K30" s="7"/>
      <c r="L30" s="7"/>
      <c r="M30" s="7"/>
      <c r="N30" s="7"/>
      <c r="O30" s="7"/>
      <c r="P30" s="7" t="s">
        <v>21</v>
      </c>
      <c r="Q30" s="7"/>
      <c r="R30" s="7"/>
      <c r="S30" s="7"/>
      <c r="T30" s="7" t="s">
        <v>22</v>
      </c>
      <c r="U30" s="7" t="s">
        <v>21</v>
      </c>
      <c r="V30" s="7"/>
      <c r="W30" s="7" t="s">
        <v>22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I30">
        <f>AS8</f>
        <v>10</v>
      </c>
      <c r="AJ30">
        <f>COUNTIF(C31:AG31,"年休")+COUNTIF(C31:AG31,"/年")/2+COUNTIF(C31:AG31,"年/")/2</f>
        <v>2</v>
      </c>
      <c r="AK30">
        <f>COUNTIF(C30:AG30,"休")+COUNTIF(C30:AG30,"半/")/2+COUNTIF(C30:AG30,"/半")/2</f>
        <v>7</v>
      </c>
      <c r="AL30">
        <f>AI30+AJ30-AK30</f>
        <v>5</v>
      </c>
    </row>
    <row r="31" spans="1:42">
      <c r="A31" s="30"/>
      <c r="B31" s="2" t="s">
        <v>25</v>
      </c>
      <c r="C31" s="11" t="s">
        <v>23</v>
      </c>
      <c r="D31" s="11"/>
      <c r="E31" s="11"/>
      <c r="F31" s="11"/>
      <c r="G31" s="11" t="s">
        <v>23</v>
      </c>
      <c r="H31" s="11" t="s">
        <v>23</v>
      </c>
      <c r="I31" s="11" t="s">
        <v>26</v>
      </c>
      <c r="J31" s="11" t="s">
        <v>26</v>
      </c>
      <c r="K31" s="11"/>
      <c r="L31" s="11"/>
      <c r="M31" s="11"/>
      <c r="N31" s="11"/>
      <c r="O31" s="11"/>
      <c r="P31" s="11" t="s">
        <v>23</v>
      </c>
      <c r="Q31" s="11"/>
      <c r="R31" s="11"/>
      <c r="S31" s="11"/>
      <c r="T31" s="11" t="s">
        <v>58</v>
      </c>
      <c r="U31" s="11" t="s">
        <v>23</v>
      </c>
      <c r="V31" s="11"/>
      <c r="W31" s="11" t="s">
        <v>58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spans="1:42">
      <c r="A32" s="29" t="s">
        <v>64</v>
      </c>
      <c r="B32" s="2" t="s">
        <v>20</v>
      </c>
      <c r="C32" s="7"/>
      <c r="D32" s="7" t="s">
        <v>21</v>
      </c>
      <c r="E32" s="7" t="s">
        <v>21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 t="s">
        <v>21</v>
      </c>
      <c r="V32" s="7" t="s">
        <v>21</v>
      </c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 t="s">
        <v>21</v>
      </c>
      <c r="AI32">
        <f>AS8</f>
        <v>10</v>
      </c>
      <c r="AJ32">
        <f>COUNTIF(C33:AG33,"年休")+COUNTIF(C33:AG33,"/年")/2+COUNTIF(C33:AG33,"年/")/2</f>
        <v>2</v>
      </c>
      <c r="AK32">
        <f>COUNTIF(C32:AG32,"休")+COUNTIF(C32:AG32,"半/")/2+COUNTIF(C32:AG32,"/半")/2</f>
        <v>5</v>
      </c>
      <c r="AL32">
        <f>AI32+AJ32-AK32</f>
        <v>7</v>
      </c>
    </row>
    <row r="33" spans="1:38">
      <c r="A33" s="30"/>
      <c r="B33" s="2" t="s">
        <v>25</v>
      </c>
      <c r="C33" s="11"/>
      <c r="D33" s="11" t="s">
        <v>23</v>
      </c>
      <c r="E33" s="11" t="s">
        <v>23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26</v>
      </c>
      <c r="V33" s="11" t="s">
        <v>26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 t="s">
        <v>23</v>
      </c>
    </row>
    <row r="34" spans="1:38">
      <c r="A34" s="29" t="s">
        <v>57</v>
      </c>
      <c r="B34" s="2" t="s">
        <v>20</v>
      </c>
      <c r="C34" s="7"/>
      <c r="D34" s="7"/>
      <c r="E34" s="7"/>
      <c r="F34" s="7" t="s">
        <v>21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 t="s">
        <v>21</v>
      </c>
      <c r="R34" s="7" t="s">
        <v>21</v>
      </c>
      <c r="S34" s="7"/>
      <c r="T34" s="7"/>
      <c r="U34" s="7"/>
      <c r="V34" s="7"/>
      <c r="W34" s="7"/>
      <c r="X34" s="7"/>
      <c r="Y34" s="7"/>
      <c r="Z34" s="7"/>
      <c r="AA34" s="7"/>
      <c r="AB34" s="7" t="s">
        <v>21</v>
      </c>
      <c r="AC34" s="7"/>
      <c r="AD34" s="7"/>
      <c r="AE34" s="7"/>
      <c r="AF34" s="7"/>
      <c r="AG34" s="7" t="s">
        <v>21</v>
      </c>
      <c r="AI34">
        <f>AS8</f>
        <v>10</v>
      </c>
      <c r="AJ34">
        <f>COUNTIF(C35:AG35,"年休")+COUNTIF(C35:AG35,"/年")/2+COUNTIF(C35:AG35,"年/")/2</f>
        <v>1</v>
      </c>
      <c r="AK34">
        <f>COUNTIF(C34:AG34,"休")+COUNTIF(C34:AG34,"半/")/2+COUNTIF(C34:AG34,"/半")/2</f>
        <v>5</v>
      </c>
      <c r="AL34">
        <f>AI34+AJ34-AK34</f>
        <v>6</v>
      </c>
    </row>
    <row r="35" spans="1:38">
      <c r="A35" s="30"/>
      <c r="B35" s="2" t="s">
        <v>25</v>
      </c>
      <c r="C35" s="11"/>
      <c r="D35" s="11"/>
      <c r="E35" s="11"/>
      <c r="F35" s="11" t="s">
        <v>23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 t="s">
        <v>23</v>
      </c>
      <c r="R35" s="11" t="s">
        <v>26</v>
      </c>
      <c r="S35" s="11"/>
      <c r="T35" s="11"/>
      <c r="U35" s="11"/>
      <c r="V35" s="11"/>
      <c r="W35" s="11"/>
      <c r="X35" s="11"/>
      <c r="Y35" s="11"/>
      <c r="Z35" s="11"/>
      <c r="AA35" s="11"/>
      <c r="AB35" s="11" t="s">
        <v>23</v>
      </c>
      <c r="AC35" s="11"/>
      <c r="AD35" s="11"/>
      <c r="AE35" s="11"/>
      <c r="AF35" s="11"/>
      <c r="AG35" s="11" t="s">
        <v>23</v>
      </c>
    </row>
    <row r="36" spans="1:38">
      <c r="A36" s="31" t="s">
        <v>67</v>
      </c>
      <c r="B36" s="2" t="s">
        <v>20</v>
      </c>
      <c r="C36" s="7"/>
      <c r="D36" s="7"/>
      <c r="E36" s="7"/>
      <c r="F36" s="7"/>
      <c r="G36" s="7"/>
      <c r="H36" s="7"/>
      <c r="I36" s="7" t="s">
        <v>22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 t="s">
        <v>21</v>
      </c>
      <c r="Z36" s="7"/>
      <c r="AA36" s="7"/>
      <c r="AB36" s="7"/>
      <c r="AC36" s="7"/>
      <c r="AD36" s="7"/>
      <c r="AE36" s="7"/>
      <c r="AF36" s="7"/>
      <c r="AG36" s="7"/>
      <c r="AI36">
        <f>AS8</f>
        <v>10</v>
      </c>
      <c r="AJ36">
        <f>COUNTIF(C37:AG37,"年休")+COUNTIF(C37:AG37,"/年")/2+COUNTIF(C37:AG37,"年/")/2</f>
        <v>0</v>
      </c>
      <c r="AK36">
        <f>COUNTIF(C36:AG36,"休")+COUNTIF(C36:AG36,"半/")/2+COUNTIF(C36:AG36,"/半")/2</f>
        <v>1</v>
      </c>
      <c r="AL36">
        <f>AI36+AJ36-AK36</f>
        <v>9</v>
      </c>
    </row>
    <row r="37" spans="1:38">
      <c r="A37" s="32"/>
      <c r="B37" s="2" t="s">
        <v>25</v>
      </c>
      <c r="C37" s="11"/>
      <c r="D37" s="11"/>
      <c r="E37" s="11"/>
      <c r="F37" s="11"/>
      <c r="G37" s="11"/>
      <c r="H37" s="11"/>
      <c r="I37" s="11" t="s">
        <v>58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 t="s">
        <v>23</v>
      </c>
      <c r="Z37" s="11"/>
      <c r="AA37" s="11"/>
      <c r="AB37" s="11"/>
      <c r="AC37" s="11"/>
      <c r="AD37" s="11"/>
      <c r="AE37" s="11"/>
      <c r="AF37" s="11"/>
      <c r="AG37" s="11"/>
    </row>
    <row r="38" spans="1:38">
      <c r="A38" s="31" t="s">
        <v>68</v>
      </c>
      <c r="B38" s="2" t="s">
        <v>20</v>
      </c>
      <c r="C38" s="7"/>
      <c r="D38" s="7"/>
      <c r="E38" s="7"/>
      <c r="F38" s="7"/>
      <c r="G38" s="7"/>
      <c r="H38" s="7"/>
      <c r="I38" s="7"/>
      <c r="J38" s="7" t="s">
        <v>21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 t="s">
        <v>21</v>
      </c>
      <c r="AI38">
        <f>AS8</f>
        <v>10</v>
      </c>
      <c r="AJ38">
        <f>COUNTIF(C39:AG39,"年休")+COUNTIF(C39:AG39,"/年")/2+COUNTIF(C39:AG39,"年/")/2</f>
        <v>0</v>
      </c>
      <c r="AK38">
        <f>COUNTIF(C38:AG38,"休")+COUNTIF(C38:AG38,"半/")/2+COUNTIF(C38:AG38,"/半")/2</f>
        <v>2</v>
      </c>
      <c r="AL38">
        <f>AI38+AJ38-AK38</f>
        <v>8</v>
      </c>
    </row>
    <row r="39" spans="1:38">
      <c r="A39" s="32"/>
      <c r="B39" s="2" t="s">
        <v>25</v>
      </c>
      <c r="C39" s="11"/>
      <c r="D39" s="11"/>
      <c r="E39" s="11"/>
      <c r="F39" s="11"/>
      <c r="G39" s="11"/>
      <c r="H39" s="11"/>
      <c r="I39" s="11"/>
      <c r="J39" s="11" t="s">
        <v>23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 t="s">
        <v>23</v>
      </c>
    </row>
    <row r="40" spans="1:38">
      <c r="A40" s="24"/>
      <c r="B40" s="23" t="s">
        <v>48</v>
      </c>
      <c r="C40">
        <f t="shared" ref="C40:AG40" si="2">COUNTIF(C30:C39,"休")+COUNTIF(C30:C39,"半/")/2+COUNTIF(C30:C39,"/半")/2</f>
        <v>1</v>
      </c>
      <c r="D40">
        <f t="shared" si="2"/>
        <v>1</v>
      </c>
      <c r="E40">
        <f t="shared" si="2"/>
        <v>1</v>
      </c>
      <c r="F40">
        <f t="shared" si="2"/>
        <v>1</v>
      </c>
      <c r="G40">
        <f t="shared" si="2"/>
        <v>1</v>
      </c>
      <c r="H40">
        <f t="shared" si="2"/>
        <v>1</v>
      </c>
      <c r="I40">
        <f t="shared" si="2"/>
        <v>1</v>
      </c>
      <c r="J40">
        <f t="shared" si="2"/>
        <v>2</v>
      </c>
      <c r="K40">
        <f t="shared" si="2"/>
        <v>0</v>
      </c>
      <c r="L40">
        <f t="shared" si="2"/>
        <v>0</v>
      </c>
      <c r="M40">
        <f t="shared" si="2"/>
        <v>0</v>
      </c>
      <c r="N40">
        <f t="shared" si="2"/>
        <v>0</v>
      </c>
      <c r="O40">
        <f t="shared" si="2"/>
        <v>0</v>
      </c>
      <c r="P40">
        <f t="shared" si="2"/>
        <v>1</v>
      </c>
      <c r="Q40">
        <f t="shared" si="2"/>
        <v>1</v>
      </c>
      <c r="R40">
        <f t="shared" si="2"/>
        <v>1</v>
      </c>
      <c r="S40">
        <f t="shared" si="2"/>
        <v>0</v>
      </c>
      <c r="T40">
        <f t="shared" si="2"/>
        <v>0</v>
      </c>
      <c r="U40">
        <f t="shared" si="2"/>
        <v>2</v>
      </c>
      <c r="V40">
        <f t="shared" si="2"/>
        <v>1</v>
      </c>
      <c r="W40">
        <f t="shared" si="2"/>
        <v>0</v>
      </c>
      <c r="X40">
        <f t="shared" si="2"/>
        <v>0</v>
      </c>
      <c r="Y40">
        <f t="shared" si="2"/>
        <v>1</v>
      </c>
      <c r="Z40">
        <f t="shared" si="2"/>
        <v>0</v>
      </c>
      <c r="AA40">
        <f t="shared" si="2"/>
        <v>0</v>
      </c>
      <c r="AB40">
        <f t="shared" si="2"/>
        <v>1</v>
      </c>
      <c r="AC40">
        <f t="shared" si="2"/>
        <v>0</v>
      </c>
      <c r="AD40">
        <f t="shared" si="2"/>
        <v>0</v>
      </c>
      <c r="AE40">
        <f t="shared" si="2"/>
        <v>0</v>
      </c>
      <c r="AF40">
        <f t="shared" si="2"/>
        <v>0</v>
      </c>
      <c r="AG40">
        <f t="shared" si="2"/>
        <v>3</v>
      </c>
    </row>
    <row r="41" spans="1:38">
      <c r="A41" s="25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spans="1:38">
      <c r="A42" s="25"/>
      <c r="B42" s="23" t="s">
        <v>47</v>
      </c>
      <c r="C42" s="26">
        <f t="shared" ref="C42:AG42" si="3">C28+C40+C12</f>
        <v>5.5</v>
      </c>
      <c r="D42" s="26">
        <f t="shared" si="3"/>
        <v>4</v>
      </c>
      <c r="E42" s="26">
        <f t="shared" si="3"/>
        <v>4</v>
      </c>
      <c r="F42" s="26">
        <f t="shared" si="3"/>
        <v>1</v>
      </c>
      <c r="G42" s="26">
        <f t="shared" si="3"/>
        <v>1</v>
      </c>
      <c r="H42" s="26">
        <f t="shared" si="3"/>
        <v>5</v>
      </c>
      <c r="I42" s="26">
        <f t="shared" si="3"/>
        <v>3</v>
      </c>
      <c r="J42" s="26">
        <f t="shared" si="3"/>
        <v>4</v>
      </c>
      <c r="K42" s="26">
        <f t="shared" si="3"/>
        <v>4</v>
      </c>
      <c r="L42" s="26">
        <f t="shared" si="3"/>
        <v>3</v>
      </c>
      <c r="M42" s="26">
        <f t="shared" si="3"/>
        <v>0</v>
      </c>
      <c r="N42" s="26">
        <f t="shared" si="3"/>
        <v>1</v>
      </c>
      <c r="O42" s="26">
        <f t="shared" si="3"/>
        <v>1</v>
      </c>
      <c r="P42" s="26">
        <f t="shared" si="3"/>
        <v>3</v>
      </c>
      <c r="Q42" s="26">
        <f t="shared" si="3"/>
        <v>2</v>
      </c>
      <c r="R42" s="26">
        <f t="shared" si="3"/>
        <v>1</v>
      </c>
      <c r="S42" s="26">
        <f t="shared" si="3"/>
        <v>2</v>
      </c>
      <c r="T42" s="26">
        <f t="shared" si="3"/>
        <v>2.5</v>
      </c>
      <c r="U42" s="26">
        <f t="shared" si="3"/>
        <v>3</v>
      </c>
      <c r="V42" s="26">
        <f t="shared" si="3"/>
        <v>2</v>
      </c>
      <c r="W42" s="26">
        <f t="shared" si="3"/>
        <v>1</v>
      </c>
      <c r="X42" s="26">
        <f t="shared" si="3"/>
        <v>1</v>
      </c>
      <c r="Y42" s="26">
        <f t="shared" si="3"/>
        <v>6</v>
      </c>
      <c r="Z42" s="26">
        <f t="shared" si="3"/>
        <v>3</v>
      </c>
      <c r="AA42" s="26">
        <f t="shared" si="3"/>
        <v>0</v>
      </c>
      <c r="AB42" s="26">
        <f t="shared" si="3"/>
        <v>1</v>
      </c>
      <c r="AC42" s="26">
        <f t="shared" si="3"/>
        <v>0</v>
      </c>
      <c r="AD42" s="26">
        <f t="shared" si="3"/>
        <v>2</v>
      </c>
      <c r="AE42" s="26">
        <f t="shared" si="3"/>
        <v>2</v>
      </c>
      <c r="AF42" s="26">
        <f t="shared" si="3"/>
        <v>3</v>
      </c>
      <c r="AG42" s="26">
        <f t="shared" si="3"/>
        <v>5</v>
      </c>
    </row>
  </sheetData>
  <mergeCells count="22">
    <mergeCell ref="A28:A29"/>
    <mergeCell ref="A4:A5"/>
    <mergeCell ref="B1:C1"/>
    <mergeCell ref="I1:AG1"/>
    <mergeCell ref="AQ1:AS1"/>
    <mergeCell ref="A2:A3"/>
    <mergeCell ref="AQ2:AR2"/>
    <mergeCell ref="A18:A19"/>
    <mergeCell ref="A20:A21"/>
    <mergeCell ref="A22:A23"/>
    <mergeCell ref="A24:A25"/>
    <mergeCell ref="A26:A27"/>
    <mergeCell ref="A6:A7"/>
    <mergeCell ref="A8:A9"/>
    <mergeCell ref="A10:A11"/>
    <mergeCell ref="A14:A15"/>
    <mergeCell ref="A16:A17"/>
    <mergeCell ref="A32:A33"/>
    <mergeCell ref="A34:A35"/>
    <mergeCell ref="A36:A37"/>
    <mergeCell ref="A38:A39"/>
    <mergeCell ref="A30:A31"/>
  </mergeCells>
  <phoneticPr fontId="3"/>
  <conditionalFormatting sqref="A3:AH3 C29:AG39">
    <cfRule type="cellIs" dxfId="30" priority="17" operator="equal">
      <formula>"日"</formula>
    </cfRule>
  </conditionalFormatting>
  <conditionalFormatting sqref="C2:AG42">
    <cfRule type="cellIs" dxfId="29" priority="5" operator="equal">
      <formula>"出"</formula>
    </cfRule>
    <cfRule type="cellIs" dxfId="28" priority="6" operator="equal">
      <formula>"休"</formula>
    </cfRule>
  </conditionalFormatting>
  <conditionalFormatting sqref="C8:AG12">
    <cfRule type="cellIs" dxfId="27" priority="14" operator="equal">
      <formula>"日"</formula>
    </cfRule>
  </conditionalFormatting>
  <conditionalFormatting sqref="C14:AG14">
    <cfRule type="cellIs" dxfId="26" priority="150" operator="equal">
      <formula>"椛休"</formula>
    </cfRule>
  </conditionalFormatting>
  <conditionalFormatting sqref="C14:AG27">
    <cfRule type="cellIs" dxfId="25" priority="8" operator="equal">
      <formula>"日"</formula>
    </cfRule>
  </conditionalFormatting>
  <conditionalFormatting sqref="C16:AG16">
    <cfRule type="cellIs" dxfId="24" priority="1" operator="equal">
      <formula>"椛休"</formula>
    </cfRule>
  </conditionalFormatting>
  <conditionalFormatting sqref="C20:AG20">
    <cfRule type="cellIs" dxfId="23" priority="145" operator="greaterThan">
      <formula>1</formula>
    </cfRule>
  </conditionalFormatting>
  <conditionalFormatting sqref="C26:AG26">
    <cfRule type="cellIs" dxfId="22" priority="7" operator="equal">
      <formula>"椛休"</formula>
    </cfRule>
  </conditionalFormatting>
  <conditionalFormatting sqref="C28:AG28">
    <cfRule type="cellIs" dxfId="21" priority="116" operator="greaterThan">
      <formula>2</formula>
    </cfRule>
  </conditionalFormatting>
  <conditionalFormatting sqref="C32:AG32">
    <cfRule type="cellIs" dxfId="20" priority="2" operator="equal">
      <formula>"椛休"</formula>
    </cfRule>
  </conditionalFormatting>
  <conditionalFormatting sqref="C34:AG34">
    <cfRule type="cellIs" dxfId="19" priority="111" operator="greaterThan">
      <formula>1</formula>
    </cfRule>
  </conditionalFormatting>
  <conditionalFormatting sqref="C40:AG40">
    <cfRule type="cellIs" dxfId="18" priority="66" operator="greaterThan">
      <formula>2</formula>
    </cfRule>
  </conditionalFormatting>
  <conditionalFormatting sqref="C41:AG41">
    <cfRule type="cellIs" dxfId="17" priority="72" operator="equal">
      <formula>"日"</formula>
    </cfRule>
  </conditionalFormatting>
  <conditionalFormatting sqref="C42:AG42">
    <cfRule type="cellIs" dxfId="16" priority="77" operator="greaterThan">
      <formula>3</formula>
    </cfRule>
  </conditionalFormatting>
  <conditionalFormatting sqref="D1:I1">
    <cfRule type="cellIs" dxfId="15" priority="160" operator="equal">
      <formula>"出"</formula>
    </cfRule>
    <cfRule type="cellIs" dxfId="14" priority="161" operator="equal">
      <formula>"休"</formula>
    </cfRule>
  </conditionalFormatting>
  <conditionalFormatting sqref="G16:H17">
    <cfRule type="cellIs" dxfId="13" priority="153" operator="equal">
      <formula>"日"</formula>
    </cfRule>
  </conditionalFormatting>
  <conditionalFormatting sqref="N19:O19">
    <cfRule type="cellIs" dxfId="12" priority="130" operator="equal">
      <formula>"日"</formula>
    </cfRule>
  </conditionalFormatting>
  <conditionalFormatting sqref="N31:O31">
    <cfRule type="cellIs" dxfId="11" priority="101" operator="equal">
      <formula>"日"</formula>
    </cfRule>
  </conditionalFormatting>
  <conditionalFormatting sqref="O21">
    <cfRule type="cellIs" dxfId="10" priority="125" operator="equal">
      <formula>"日"</formula>
    </cfRule>
  </conditionalFormatting>
  <conditionalFormatting sqref="O23">
    <cfRule type="cellIs" dxfId="9" priority="120" operator="equal">
      <formula>"日"</formula>
    </cfRule>
  </conditionalFormatting>
  <conditionalFormatting sqref="O25">
    <cfRule type="cellIs" dxfId="8" priority="46" operator="equal">
      <formula>"日"</formula>
    </cfRule>
  </conditionalFormatting>
  <conditionalFormatting sqref="O29">
    <cfRule type="cellIs" dxfId="7" priority="133" operator="equal">
      <formula>"日"</formula>
    </cfRule>
  </conditionalFormatting>
  <conditionalFormatting sqref="O35">
    <cfRule type="cellIs" dxfId="6" priority="96" operator="equal">
      <formula>"日"</formula>
    </cfRule>
  </conditionalFormatting>
  <conditionalFormatting sqref="O37">
    <cfRule type="cellIs" dxfId="5" priority="81" operator="equal">
      <formula>"日"</formula>
    </cfRule>
  </conditionalFormatting>
  <conditionalFormatting sqref="O39">
    <cfRule type="cellIs" dxfId="4" priority="33" operator="equal">
      <formula>"日"</formula>
    </cfRule>
  </conditionalFormatting>
  <conditionalFormatting sqref="T16:Y17">
    <cfRule type="cellIs" dxfId="3" priority="151" operator="equal">
      <formula>"日"</formula>
    </cfRule>
  </conditionalFormatting>
  <conditionalFormatting sqref="AB16:AB17">
    <cfRule type="cellIs" dxfId="2" priority="154" operator="equal">
      <formula>"日"</formula>
    </cfRule>
  </conditionalFormatting>
  <conditionalFormatting sqref="AK3:AM3 AO3:AS3 AO4:AO5 C4:AH7 AM4:AM11 AK5:AL5 AK7:AL11 AH8:AH11 C13:AH13">
    <cfRule type="cellIs" dxfId="1" priority="162" operator="equal">
      <formula>"日"</formula>
    </cfRule>
  </conditionalFormatting>
  <conditionalFormatting sqref="AN6">
    <cfRule type="cellIs" dxfId="0" priority="159" operator="equal">
      <formula>"日"</formula>
    </cfRule>
  </conditionalFormatting>
  <dataValidations count="6">
    <dataValidation type="list" allowBlank="1" showInputMessage="1" showErrorMessage="1" sqref="C9:AG9 C35:AG35 C13:AG13 C41:AG41 C29:AG29 C23:AG23 C19:AG19 C7:AG7 C5:AG5 C27:AG27 C37:AG37 C21:AG21 C17:AG17 C31:AG31 C39:AG39 C11:AG11 C15:AG15 C25:AG25 C33:AG33" xr:uid="{00000000-0002-0000-0000-000002000000}">
      <formula1>$AN$4:$AN$13</formula1>
    </dataValidation>
    <dataValidation type="list" allowBlank="1" showInputMessage="1" showErrorMessage="1" sqref="C8:AG8 C32:AG32 C18:AG18 C16:AG16 C6:AG6 C26:AG26 C4:AG4 C30:AG30 C36:AG36 C22:AG22 C20:AG20 C38:AG38 C10:AG10 C14:AG14 C24:AG24 C34:AG34" xr:uid="{00000000-0002-0000-0000-000003000000}">
      <formula1>$AN$21:$AN$24</formula1>
    </dataValidation>
    <dataValidation allowBlank="1" showInputMessage="1" sqref="C12:AG12" xr:uid="{00000000-0002-0000-0000-000004000000}"/>
    <dataValidation allowBlank="1" showErrorMessage="1" prompt="_x000a_" sqref="C28:AG28 C42:AG42 C40:AG40" xr:uid="{00000000-0002-0000-0000-000005000000}"/>
    <dataValidation type="custom" allowBlank="1" showInputMessage="1" showErrorMessage="1" sqref="G1:G2" xr:uid="{00000000-0002-0000-0000-000000000000}">
      <formula1>COUNTIF(G:G,G1)&lt;=3</formula1>
    </dataValidation>
    <dataValidation type="custom" allowBlank="1" showErrorMessage="1" error="同日休み希望は3日まででお願いします。" prompt="_x000a_" sqref="C2 C3:AG3" xr:uid="{00000000-0002-0000-0000-000001000000}">
      <formula1>COUNTIF(C:C,C2)&lt;=3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11FD-6698-404B-883D-47B8F67C319F}">
  <dimension ref="A1:G17"/>
  <sheetViews>
    <sheetView workbookViewId="0">
      <selection activeCell="C20" sqref="C20"/>
    </sheetView>
  </sheetViews>
  <sheetFormatPr baseColWidth="10" defaultRowHeight="18"/>
  <sheetData>
    <row r="1" spans="1:7">
      <c r="A1" s="41" t="s">
        <v>69</v>
      </c>
      <c r="B1" s="41" t="s">
        <v>70</v>
      </c>
      <c r="C1" s="41" t="s">
        <v>71</v>
      </c>
      <c r="D1" s="41" t="s">
        <v>72</v>
      </c>
      <c r="E1" s="41" t="s">
        <v>73</v>
      </c>
      <c r="F1" s="41" t="s">
        <v>74</v>
      </c>
      <c r="G1" s="41" t="s">
        <v>75</v>
      </c>
    </row>
    <row r="2" spans="1:7">
      <c r="A2" s="41" t="s">
        <v>76</v>
      </c>
      <c r="B2" s="41" t="s">
        <v>76</v>
      </c>
      <c r="C2" s="41">
        <v>1</v>
      </c>
      <c r="D2" s="41" t="s">
        <v>77</v>
      </c>
      <c r="E2" s="41"/>
      <c r="F2" s="41"/>
      <c r="G2" s="41" t="s">
        <v>77</v>
      </c>
    </row>
    <row r="3" spans="1:7">
      <c r="A3" s="41" t="s">
        <v>78</v>
      </c>
      <c r="B3" s="41" t="s">
        <v>78</v>
      </c>
      <c r="C3" s="41">
        <v>1</v>
      </c>
      <c r="D3" s="41"/>
      <c r="E3" s="41" t="s">
        <v>77</v>
      </c>
      <c r="F3" s="41"/>
      <c r="G3" s="41" t="s">
        <v>77</v>
      </c>
    </row>
    <row r="4" spans="1:7">
      <c r="A4" s="41" t="s">
        <v>79</v>
      </c>
      <c r="B4" s="41" t="s">
        <v>79</v>
      </c>
      <c r="C4" s="41">
        <v>1</v>
      </c>
      <c r="D4" s="41"/>
      <c r="E4" s="41"/>
      <c r="F4" s="41"/>
      <c r="G4" s="41" t="s">
        <v>77</v>
      </c>
    </row>
    <row r="5" spans="1:7">
      <c r="A5" s="41" t="s">
        <v>80</v>
      </c>
      <c r="B5" s="41" t="s">
        <v>80</v>
      </c>
      <c r="C5" s="41">
        <v>1</v>
      </c>
      <c r="D5" s="41"/>
      <c r="E5" s="41"/>
      <c r="F5" s="41" t="s">
        <v>77</v>
      </c>
      <c r="G5" s="41" t="s">
        <v>77</v>
      </c>
    </row>
    <row r="6" spans="1:7">
      <c r="A6" s="41" t="s">
        <v>81</v>
      </c>
      <c r="B6" s="41" t="s">
        <v>81</v>
      </c>
      <c r="C6" s="41">
        <v>2</v>
      </c>
      <c r="D6" s="41" t="s">
        <v>77</v>
      </c>
      <c r="E6" s="41"/>
      <c r="F6" s="41"/>
      <c r="G6" s="41" t="s">
        <v>77</v>
      </c>
    </row>
    <row r="7" spans="1:7">
      <c r="A7" s="41" t="s">
        <v>82</v>
      </c>
      <c r="B7" s="41" t="s">
        <v>82</v>
      </c>
      <c r="C7" s="41">
        <v>2</v>
      </c>
      <c r="D7" s="41"/>
      <c r="E7" s="41" t="s">
        <v>77</v>
      </c>
      <c r="F7" s="41"/>
      <c r="G7" s="41" t="s">
        <v>77</v>
      </c>
    </row>
    <row r="8" spans="1:7">
      <c r="A8" s="41" t="s">
        <v>83</v>
      </c>
      <c r="B8" s="41" t="s">
        <v>83</v>
      </c>
      <c r="C8" s="41">
        <v>2</v>
      </c>
      <c r="D8" s="41"/>
      <c r="E8" s="41"/>
      <c r="F8" s="41"/>
      <c r="G8" s="41" t="s">
        <v>77</v>
      </c>
    </row>
    <row r="9" spans="1:7">
      <c r="A9" s="41" t="s">
        <v>84</v>
      </c>
      <c r="B9" s="41" t="s">
        <v>84</v>
      </c>
      <c r="C9" s="41">
        <v>2</v>
      </c>
      <c r="D9" s="41"/>
      <c r="E9" s="41"/>
      <c r="F9" s="41"/>
      <c r="G9" s="41" t="s">
        <v>77</v>
      </c>
    </row>
    <row r="10" spans="1:7">
      <c r="A10" s="41" t="s">
        <v>85</v>
      </c>
      <c r="B10" s="41" t="s">
        <v>85</v>
      </c>
      <c r="C10" s="41">
        <v>2</v>
      </c>
      <c r="D10" s="41"/>
      <c r="E10" s="41"/>
      <c r="F10" s="41"/>
      <c r="G10" s="41" t="s">
        <v>77</v>
      </c>
    </row>
    <row r="11" spans="1:7">
      <c r="A11" s="41" t="s">
        <v>86</v>
      </c>
      <c r="B11" s="41" t="s">
        <v>86</v>
      </c>
      <c r="C11" s="41">
        <v>2</v>
      </c>
      <c r="D11" s="41"/>
      <c r="E11" s="41"/>
      <c r="F11" s="41"/>
      <c r="G11" s="41" t="s">
        <v>77</v>
      </c>
    </row>
    <row r="12" spans="1:7">
      <c r="A12" s="41" t="s">
        <v>87</v>
      </c>
      <c r="B12" s="41" t="s">
        <v>87</v>
      </c>
      <c r="C12" s="41">
        <v>2</v>
      </c>
      <c r="D12" s="41"/>
      <c r="E12" s="41"/>
      <c r="F12" s="41" t="s">
        <v>77</v>
      </c>
      <c r="G12" s="41" t="s">
        <v>77</v>
      </c>
    </row>
    <row r="13" spans="1:7">
      <c r="A13" s="41" t="s">
        <v>88</v>
      </c>
      <c r="B13" s="41" t="s">
        <v>88</v>
      </c>
      <c r="C13" s="41">
        <v>3</v>
      </c>
      <c r="D13" s="41" t="s">
        <v>77</v>
      </c>
      <c r="E13" s="41"/>
      <c r="F13" s="41"/>
      <c r="G13" s="41" t="s">
        <v>77</v>
      </c>
    </row>
    <row r="14" spans="1:7">
      <c r="A14" s="41" t="s">
        <v>89</v>
      </c>
      <c r="B14" s="41" t="s">
        <v>89</v>
      </c>
      <c r="C14" s="41">
        <v>3</v>
      </c>
      <c r="D14" s="41"/>
      <c r="E14" s="41" t="s">
        <v>77</v>
      </c>
      <c r="F14" s="41"/>
      <c r="G14" s="41" t="s">
        <v>77</v>
      </c>
    </row>
    <row r="15" spans="1:7">
      <c r="A15" s="41" t="s">
        <v>90</v>
      </c>
      <c r="B15" s="41" t="s">
        <v>90</v>
      </c>
      <c r="C15" s="41">
        <v>3</v>
      </c>
      <c r="D15" s="41"/>
      <c r="E15" s="41"/>
      <c r="F15" s="41"/>
      <c r="G15" s="41" t="s">
        <v>77</v>
      </c>
    </row>
    <row r="16" spans="1:7">
      <c r="A16" s="41" t="s">
        <v>91</v>
      </c>
      <c r="B16" s="41" t="s">
        <v>91</v>
      </c>
      <c r="C16" s="41">
        <v>3</v>
      </c>
      <c r="D16" s="41"/>
      <c r="E16" s="41"/>
      <c r="F16" s="41"/>
      <c r="G16" s="41" t="s">
        <v>77</v>
      </c>
    </row>
    <row r="17" spans="1:7">
      <c r="A17" s="41" t="s">
        <v>92</v>
      </c>
      <c r="B17" s="41" t="s">
        <v>92</v>
      </c>
      <c r="C17" s="41">
        <v>3</v>
      </c>
      <c r="D17" s="41"/>
      <c r="E17" s="41"/>
      <c r="F17" s="41" t="s">
        <v>77</v>
      </c>
      <c r="G17" s="41" t="s">
        <v>77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職員マスタ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2026-09-25T10:26:42Z</dcterms:modified>
</cp:coreProperties>
</file>